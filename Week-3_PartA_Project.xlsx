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b7a57dbf92b28a/Sibongile Maluleka/Week_3/"/>
    </mc:Choice>
  </mc:AlternateContent>
  <xr:revisionPtr revIDLastSave="44" documentId="8_{A70FF151-2D28-4F71-B1AA-F8A7933E51E8}" xr6:coauthVersionLast="47" xr6:coauthVersionMax="47" xr10:uidLastSave="{3CC2DD26-FFA1-4495-B940-4712172C58E7}"/>
  <bookViews>
    <workbookView xWindow="-120" yWindow="-120" windowWidth="24240" windowHeight="13140" activeTab="1" xr2:uid="{00000000-000D-0000-FFFF-FFFF00000000}"/>
  </bookViews>
  <sheets>
    <sheet name="Landing-Page" sheetId="9" r:id="rId1"/>
    <sheet name="Week-3-Employee-Data_CLEANED" sheetId="2" r:id="rId2"/>
    <sheet name="Data Description" sheetId="1" r:id="rId3"/>
    <sheet name="Average Salary by Department an" sheetId="3" r:id="rId4"/>
    <sheet name="headcount by department" sheetId="5" r:id="rId5"/>
    <sheet name="Active vs Inactive" sheetId="6" r:id="rId6"/>
    <sheet name="Hires by Year" sheetId="7" r:id="rId7"/>
    <sheet name="Bar Graph" sheetId="8" r:id="rId8"/>
  </sheets>
  <definedNames>
    <definedName name="_xlnm._FilterDatabase" localSheetId="3" hidden="1">'Average Salary by Department an'!$E$6:$E$6</definedName>
    <definedName name="ExternalData_1" localSheetId="1" hidden="1">'Week-3-Employee-Data_CLEANED'!$A$1:$R$151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1199D7-B59F-4760-AA72-1605516051A6}" keepAlive="1" name="Query - Week-3-Employee-Data_CLEANED" description="Connection to the 'Week-3-Employee-Data_CLEANED' query in the workbook." type="5" refreshedVersion="8" background="1" saveData="1">
    <dbPr connection="Provider=Microsoft.Mashup.OleDb.1;Data Source=$Workbook$;Location=Week-3-Employee-Data_CLEANED;Extended Properties=&quot;&quot;" command="SELECT * FROM [Week-3-Employee-Data_CLEANED]"/>
  </connection>
</connections>
</file>

<file path=xl/sharedStrings.xml><?xml version="1.0" encoding="utf-8"?>
<sst xmlns="http://schemas.openxmlformats.org/spreadsheetml/2006/main" count="1721" uniqueCount="267">
  <si>
    <t xml:space="preserve">Excel Group </t>
  </si>
  <si>
    <t>Group Members:-</t>
  </si>
  <si>
    <t>Lebogang Molepo</t>
  </si>
  <si>
    <t>Tersh Kgaphola</t>
  </si>
  <si>
    <t>Tshepang Mafona</t>
  </si>
  <si>
    <t>Lethukuthula Mthiyane</t>
  </si>
  <si>
    <t>Sibongile Maluleka</t>
  </si>
  <si>
    <t>employee_id</t>
  </si>
  <si>
    <t>first_name</t>
  </si>
  <si>
    <t>last_name</t>
  </si>
  <si>
    <t>email</t>
  </si>
  <si>
    <t>gender</t>
  </si>
  <si>
    <t>department</t>
  </si>
  <si>
    <t>job_title</t>
  </si>
  <si>
    <t>hire_date</t>
  </si>
  <si>
    <t>hire_date(YEAR)</t>
  </si>
  <si>
    <t>exit_date</t>
  </si>
  <si>
    <t>is_active</t>
  </si>
  <si>
    <t>salary</t>
  </si>
  <si>
    <t>currency</t>
  </si>
  <si>
    <t>country</t>
  </si>
  <si>
    <t>state</t>
  </si>
  <si>
    <t>city</t>
  </si>
  <si>
    <t>manager_id</t>
  </si>
  <si>
    <t>performance_score</t>
  </si>
  <si>
    <t>Ken</t>
  </si>
  <si>
    <t>Naidoo</t>
  </si>
  <si>
    <t>ken.naidoo@example.com</t>
  </si>
  <si>
    <t>Male</t>
  </si>
  <si>
    <t>Human Resources</t>
  </si>
  <si>
    <t>Sales Rep</t>
  </si>
  <si>
    <t>GBP</t>
  </si>
  <si>
    <t>south-africa</t>
  </si>
  <si>
    <t>Western Cape</t>
  </si>
  <si>
    <t/>
  </si>
  <si>
    <t>Sam</t>
  </si>
  <si>
    <t>Smith</t>
  </si>
  <si>
    <t>sam.smith@mail.com</t>
  </si>
  <si>
    <t>Gauteng</t>
  </si>
  <si>
    <t>Johannesburg</t>
  </si>
  <si>
    <t>C</t>
  </si>
  <si>
    <t>Oscar</t>
  </si>
  <si>
    <t>Mthembu</t>
  </si>
  <si>
    <t>oscar.mthembu@mail.com</t>
  </si>
  <si>
    <t>Operations</t>
  </si>
  <si>
    <t>Engineer</t>
  </si>
  <si>
    <t>USD</t>
  </si>
  <si>
    <t>South Africa</t>
  </si>
  <si>
    <t>KZN</t>
  </si>
  <si>
    <t>Cape Town</t>
  </si>
  <si>
    <t>Brown</t>
  </si>
  <si>
    <t>sam.brown@example</t>
  </si>
  <si>
    <t>Sales</t>
  </si>
  <si>
    <t>Senior Analyst</t>
  </si>
  <si>
    <t>United States</t>
  </si>
  <si>
    <t>Faith</t>
  </si>
  <si>
    <t>faith.mthembu@mail.com</t>
  </si>
  <si>
    <t>United Kingdom</t>
  </si>
  <si>
    <t>Limpopo</t>
  </si>
  <si>
    <t>Polokwane</t>
  </si>
  <si>
    <t>B</t>
  </si>
  <si>
    <t>Esi</t>
  </si>
  <si>
    <t>Dlamini</t>
  </si>
  <si>
    <t>esi.dlaminimail.com</t>
  </si>
  <si>
    <t>Information Technology</t>
  </si>
  <si>
    <t>Manager</t>
  </si>
  <si>
    <t>D</t>
  </si>
  <si>
    <t>David</t>
  </si>
  <si>
    <t>Zuma</t>
  </si>
  <si>
    <t>david.zuma@example.com</t>
  </si>
  <si>
    <t>ZAR</t>
  </si>
  <si>
    <t>A</t>
  </si>
  <si>
    <t>Nguyen</t>
  </si>
  <si>
    <t>david.nguyen@example</t>
  </si>
  <si>
    <t>Other</t>
  </si>
  <si>
    <t>Liam</t>
  </si>
  <si>
    <t>liam.naidoo@mail.com</t>
  </si>
  <si>
    <t>Chipo</t>
  </si>
  <si>
    <t>Nkosi</t>
  </si>
  <si>
    <t>chipo.nkosi@mail.com</t>
  </si>
  <si>
    <t>Analyst</t>
  </si>
  <si>
    <t>Mai</t>
  </si>
  <si>
    <t>Van Wyk</t>
  </si>
  <si>
    <t>mai.van wykmail.com</t>
  </si>
  <si>
    <t>Female</t>
  </si>
  <si>
    <t>Accountant</t>
  </si>
  <si>
    <t>Nia</t>
  </si>
  <si>
    <t>nia.nguyen@company.co.za</t>
  </si>
  <si>
    <t>Que</t>
  </si>
  <si>
    <t>Khan</t>
  </si>
  <si>
    <t>que.khan@example.com</t>
  </si>
  <si>
    <t>Rae</t>
  </si>
  <si>
    <t>Moyo</t>
  </si>
  <si>
    <t>rae.moyo@mail.com</t>
  </si>
  <si>
    <t>chipo.nkosi@company.co.za</t>
  </si>
  <si>
    <t>Durban</t>
  </si>
  <si>
    <t>ken.khan@example</t>
  </si>
  <si>
    <t>Data Scientist</t>
  </si>
  <si>
    <t>esi.khancompany.co.za</t>
  </si>
  <si>
    <t>esi.moyocompany.co.za</t>
  </si>
  <si>
    <t>Finance</t>
  </si>
  <si>
    <t>Govender</t>
  </si>
  <si>
    <t>david.govender@company.co.za</t>
  </si>
  <si>
    <t>Clerk</t>
  </si>
  <si>
    <t>Vin</t>
  </si>
  <si>
    <t>vin.nguyencompany.co.za</t>
  </si>
  <si>
    <t>que.brown@example.com</t>
  </si>
  <si>
    <t>Bob</t>
  </si>
  <si>
    <t>bob.nguyen@mail.com</t>
  </si>
  <si>
    <t>chipo.van wyk@company.co.za</t>
  </si>
  <si>
    <t>Pretoria</t>
  </si>
  <si>
    <t>sam.naidoo@example</t>
  </si>
  <si>
    <t>Abel</t>
  </si>
  <si>
    <t>abel.khan@mail.com</t>
  </si>
  <si>
    <t>Alice</t>
  </si>
  <si>
    <t>alice.naidoo@example</t>
  </si>
  <si>
    <t>HR Officer</t>
  </si>
  <si>
    <t>liam.smithexample.com</t>
  </si>
  <si>
    <t>Tari</t>
  </si>
  <si>
    <t>tari.brown@example.com</t>
  </si>
  <si>
    <t>Henry</t>
  </si>
  <si>
    <t>henry.zuma@mail.com</t>
  </si>
  <si>
    <t>Isaac</t>
  </si>
  <si>
    <t>isaac.mthembu@example.com</t>
  </si>
  <si>
    <t>henry.brown@mail.com</t>
  </si>
  <si>
    <t>Pillay</t>
  </si>
  <si>
    <t>chipo.pillay@mail.com</t>
  </si>
  <si>
    <t>isaac.nkosiexample</t>
  </si>
  <si>
    <t>Engineering</t>
  </si>
  <si>
    <t>tari.naidoo@example.com</t>
  </si>
  <si>
    <t>bob.pillay@example</t>
  </si>
  <si>
    <t>Ndlovu</t>
  </si>
  <si>
    <t>ken.ndlovu@mail.com</t>
  </si>
  <si>
    <t>isaac.pillay@mail.com</t>
  </si>
  <si>
    <t>liam.brown@mail.com</t>
  </si>
  <si>
    <t>oscar.mthembu@company.co.za</t>
  </si>
  <si>
    <t>bob.dlamini@example</t>
  </si>
  <si>
    <t>bob.ndlovu@mail.com</t>
  </si>
  <si>
    <t>Una</t>
  </si>
  <si>
    <t>una.naidoo@company.co.za</t>
  </si>
  <si>
    <t>Pat</t>
  </si>
  <si>
    <t>pat.brown@example.com</t>
  </si>
  <si>
    <t>mai.khan@example.com</t>
  </si>
  <si>
    <t>que.zuma@example</t>
  </si>
  <si>
    <t>bob.brown@example.com</t>
  </si>
  <si>
    <t>Chad</t>
  </si>
  <si>
    <t>chad.nguyen@example</t>
  </si>
  <si>
    <t>que.mthembu@company.co.za</t>
  </si>
  <si>
    <t>nia.khan@example</t>
  </si>
  <si>
    <t>alice.brownexample.com</t>
  </si>
  <si>
    <t>mai.naidooexample.com</t>
  </si>
  <si>
    <t>chipo.van wyk@example.com</t>
  </si>
  <si>
    <t>faith.pillay@company.co.za</t>
  </si>
  <si>
    <t>sam.dlamini@example.com</t>
  </si>
  <si>
    <t>david.nkosiexample.com</t>
  </si>
  <si>
    <t>que.zuma@example.com</t>
  </si>
  <si>
    <t>pat.van wyk@company.co.za</t>
  </si>
  <si>
    <t>chad.govender@company.co.za</t>
  </si>
  <si>
    <t>faith.zuma@mail.com</t>
  </si>
  <si>
    <t>vin.dlamini@mail.com</t>
  </si>
  <si>
    <t>isaac.mthembu@example</t>
  </si>
  <si>
    <t>isaac.nguyen@example.com</t>
  </si>
  <si>
    <t>liam.dlamini@example.com</t>
  </si>
  <si>
    <t>nia.smith@mail.com</t>
  </si>
  <si>
    <t>vin.govender@mail.com</t>
  </si>
  <si>
    <t>vin.ndlovu@example.com</t>
  </si>
  <si>
    <t>Zed</t>
  </si>
  <si>
    <t>zed.naidoo@example.com</t>
  </si>
  <si>
    <t>henry.zuma@company.co.za</t>
  </si>
  <si>
    <t>pat.zuma@example</t>
  </si>
  <si>
    <t>Bea</t>
  </si>
  <si>
    <t>bea.khan@example.com</t>
  </si>
  <si>
    <t>Yara</t>
  </si>
  <si>
    <t>yara.govender@example.com</t>
  </si>
  <si>
    <t>alice.smith@example.com</t>
  </si>
  <si>
    <t>Grace</t>
  </si>
  <si>
    <t>grace.nguyen@example.com</t>
  </si>
  <si>
    <t>alice.moyo@company.co.za</t>
  </si>
  <si>
    <t>zed.brown@example.com</t>
  </si>
  <si>
    <t>ken.pillay@example.com</t>
  </si>
  <si>
    <t>yara.khan@example</t>
  </si>
  <si>
    <t>david.zuma@company.co.za</t>
  </si>
  <si>
    <t>una.dlamini@mail.com</t>
  </si>
  <si>
    <t>yara.moyo@example.com</t>
  </si>
  <si>
    <t>tari.nguyen@example.com</t>
  </si>
  <si>
    <t>bea.naidoo@mail.com</t>
  </si>
  <si>
    <t>nia.pillay@example</t>
  </si>
  <si>
    <t>sam.naidoo@mail.com</t>
  </si>
  <si>
    <t>zed.ndlovuexample.com</t>
  </si>
  <si>
    <t>abel.nguyen@company.co.za</t>
  </si>
  <si>
    <t>alice.nguyen@example.com</t>
  </si>
  <si>
    <t>una.smith@example.com</t>
  </si>
  <si>
    <t>david.khan@example</t>
  </si>
  <si>
    <t>tari.dlamini@example</t>
  </si>
  <si>
    <t>Jane</t>
  </si>
  <si>
    <t>jane.pillay@example</t>
  </si>
  <si>
    <t>liam.naidoo@example</t>
  </si>
  <si>
    <t>ken.govender@company.co.za</t>
  </si>
  <si>
    <t>bea.mthembu@example</t>
  </si>
  <si>
    <t>henry.dlamini@company.co.za</t>
  </si>
  <si>
    <t>bob.mthembu@example.com</t>
  </si>
  <si>
    <t>chipo.nguyen@company.co.za</t>
  </si>
  <si>
    <t>jane.van wyk@example.com</t>
  </si>
  <si>
    <t>abel.zuma@company.co.za</t>
  </si>
  <si>
    <t>henry.nkosicompany.co.za</t>
  </si>
  <si>
    <t>faith.naidoo@example.com</t>
  </si>
  <si>
    <t>isaac.govender@mail.com</t>
  </si>
  <si>
    <t>grace.nkosi@example</t>
  </si>
  <si>
    <t>yara.nguyenexample.com</t>
  </si>
  <si>
    <t>alice.govender@company.co.za</t>
  </si>
  <si>
    <t>una.govender@company.co.za</t>
  </si>
  <si>
    <t>nia.van wyk@example.com</t>
  </si>
  <si>
    <t>faith.khan@mail.com</t>
  </si>
  <si>
    <t>esi.van wyk@example.com</t>
  </si>
  <si>
    <t>oscar.dlamini@example</t>
  </si>
  <si>
    <t>alice.ndlovumail.com</t>
  </si>
  <si>
    <t>faith.govender@company.co.za</t>
  </si>
  <si>
    <t>Will</t>
  </si>
  <si>
    <t>will.nkosi@example</t>
  </si>
  <si>
    <t>chad.van wyk@example.com</t>
  </si>
  <si>
    <t>vin.pillay@mail.com</t>
  </si>
  <si>
    <t>faith.nkosi@example.com</t>
  </si>
  <si>
    <t>david.zuma@example</t>
  </si>
  <si>
    <t>faith.ndlovu@example.com</t>
  </si>
  <si>
    <t>david.brown@example.com</t>
  </si>
  <si>
    <t>zed.nguyen@example</t>
  </si>
  <si>
    <t>oscar.smith@company.co.za</t>
  </si>
  <si>
    <t>rae.brown@example.com</t>
  </si>
  <si>
    <t>liam.nkosi@mail.com</t>
  </si>
  <si>
    <t>faith.pillay@example</t>
  </si>
  <si>
    <t>grace.nkosiexample.com</t>
  </si>
  <si>
    <t>bea.smith@example</t>
  </si>
  <si>
    <t>abel.ndlovu@company.co.za</t>
  </si>
  <si>
    <t>una.nkosi@mail.com</t>
  </si>
  <si>
    <t>una.ndlovu@company.co.za</t>
  </si>
  <si>
    <t>will.smith@mail.com</t>
  </si>
  <si>
    <t>ken.govender@mail.com</t>
  </si>
  <si>
    <t>vin.smith@example</t>
  </si>
  <si>
    <t>alice.naidoo@company.co.za</t>
  </si>
  <si>
    <t>una.zuma@company.co.za</t>
  </si>
  <si>
    <t>que.pillay@company.co.za</t>
  </si>
  <si>
    <t>una.nguyen@company.co.za</t>
  </si>
  <si>
    <t>esi.moyo@mail.com</t>
  </si>
  <si>
    <t>grace.naidoo@example.com</t>
  </si>
  <si>
    <t>yara.zuma@example</t>
  </si>
  <si>
    <t>rae.moyo@example</t>
  </si>
  <si>
    <t>abel.moyo@mail.com</t>
  </si>
  <si>
    <t>jane.nkosi@company.co.za</t>
  </si>
  <si>
    <t>jane.nkosi@example</t>
  </si>
  <si>
    <t>rae.nguyen@example.com</t>
  </si>
  <si>
    <t>zed.ndlovu@company.co.za</t>
  </si>
  <si>
    <t>bob.naidoo@example</t>
  </si>
  <si>
    <t>(c)</t>
  </si>
  <si>
    <r>
      <rPr>
        <b/>
        <u/>
        <sz val="16"/>
        <color theme="1"/>
        <rFont val="Calibri"/>
        <family val="2"/>
      </rPr>
      <t>Type of Data</t>
    </r>
    <r>
      <rPr>
        <sz val="12"/>
        <color theme="1"/>
        <rFont val="Calibri"/>
        <family val="2"/>
      </rPr>
      <t xml:space="preserve">
The dataset contains structured data because it is organized into rows and columns with clearly defined fields (like employee_id, department, salary, etc.). Each row represents one employee record, and each column has a specific data type (text, number, date, Boolean). Structured data is easy to store in relational databases or spreadsheets and can be queried, filtered, and analyzed systematically.</t>
    </r>
  </si>
  <si>
    <t>(d)</t>
  </si>
  <si>
    <r>
      <rPr>
        <b/>
        <u/>
        <sz val="16"/>
        <color theme="1"/>
        <rFont val="Calibri"/>
        <family val="2"/>
      </rPr>
      <t>Columns and Their Purpose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>employee_id</t>
    </r>
    <r>
      <rPr>
        <sz val="12"/>
        <color theme="1"/>
        <rFont val="Calibri"/>
        <family val="2"/>
      </rPr>
      <t xml:space="preserve">: A unique identifier for each employee record.
</t>
    </r>
    <r>
      <rPr>
        <b/>
        <sz val="12"/>
        <color theme="1"/>
        <rFont val="Calibri"/>
        <family val="2"/>
      </rPr>
      <t>first_name and last_name</t>
    </r>
    <r>
      <rPr>
        <sz val="12"/>
        <color theme="1"/>
        <rFont val="Calibri"/>
        <family val="2"/>
      </rPr>
      <t xml:space="preserve">: Capture the employee’s personal name details.
</t>
    </r>
    <r>
      <rPr>
        <b/>
        <sz val="12"/>
        <color theme="1"/>
        <rFont val="Calibri"/>
        <family val="2"/>
      </rPr>
      <t>email</t>
    </r>
    <r>
      <rPr>
        <sz val="12"/>
        <color theme="1"/>
        <rFont val="Calibri"/>
        <family val="2"/>
      </rPr>
      <t xml:space="preserve">: Provides a contact address for communication.
</t>
    </r>
    <r>
      <rPr>
        <b/>
        <sz val="12"/>
        <color theme="1"/>
        <rFont val="Calibri"/>
        <family val="2"/>
      </rPr>
      <t>gende</t>
    </r>
    <r>
      <rPr>
        <sz val="12"/>
        <color theme="1"/>
        <rFont val="Calibri"/>
        <family val="2"/>
      </rPr>
      <t xml:space="preserve">r: Records the employee’s gender.
</t>
    </r>
    <r>
      <rPr>
        <b/>
        <sz val="12"/>
        <color theme="1"/>
        <rFont val="Calibri"/>
        <family val="2"/>
      </rPr>
      <t>department</t>
    </r>
    <r>
      <rPr>
        <sz val="12"/>
        <color theme="1"/>
        <rFont val="Calibri"/>
        <family val="2"/>
      </rPr>
      <t xml:space="preserve">: Indicates the organizational unit where the employee works (e.g., HR, IT, Sales).
</t>
    </r>
    <r>
      <rPr>
        <b/>
        <sz val="12"/>
        <color theme="1"/>
        <rFont val="Calibri"/>
        <family val="2"/>
      </rPr>
      <t>job_title</t>
    </r>
    <r>
      <rPr>
        <sz val="12"/>
        <color theme="1"/>
        <rFont val="Calibri"/>
        <family val="2"/>
      </rPr>
      <t xml:space="preserve">: Specifies the employee’s role or position within the department.
</t>
    </r>
    <r>
      <rPr>
        <b/>
        <sz val="12"/>
        <color theme="1"/>
        <rFont val="Calibri"/>
        <family val="2"/>
      </rPr>
      <t>hire_date</t>
    </r>
    <r>
      <rPr>
        <sz val="12"/>
        <color theme="1"/>
        <rFont val="Calibri"/>
        <family val="2"/>
      </rPr>
      <t xml:space="preserve">: Marks the date the employee joined the organization.
</t>
    </r>
    <r>
      <rPr>
        <b/>
        <sz val="12"/>
        <color theme="1"/>
        <rFont val="Calibri"/>
        <family val="2"/>
      </rPr>
      <t>exit_date</t>
    </r>
    <r>
      <rPr>
        <sz val="12"/>
        <color theme="1"/>
        <rFont val="Calibri"/>
        <family val="2"/>
      </rPr>
      <t xml:space="preserve">: Records the date the employee left, if applicable.
</t>
    </r>
    <r>
      <rPr>
        <b/>
        <sz val="12"/>
        <color theme="1"/>
        <rFont val="Calibri"/>
        <family val="2"/>
      </rPr>
      <t>is_active</t>
    </r>
    <r>
      <rPr>
        <sz val="12"/>
        <color theme="1"/>
        <rFont val="Calibri"/>
        <family val="2"/>
      </rPr>
      <t xml:space="preserve">: Flags whether the employee is currently employed (True/False).
</t>
    </r>
    <r>
      <rPr>
        <b/>
        <sz val="12"/>
        <color theme="1"/>
        <rFont val="Calibri"/>
        <family val="2"/>
      </rPr>
      <t>salary</t>
    </r>
    <r>
      <rPr>
        <sz val="12"/>
        <color theme="1"/>
        <rFont val="Calibri"/>
        <family val="2"/>
      </rPr>
      <t xml:space="preserve">: Shows the employee’s pay amount.
</t>
    </r>
    <r>
      <rPr>
        <b/>
        <sz val="12"/>
        <color theme="1"/>
        <rFont val="Calibri"/>
        <family val="2"/>
      </rPr>
      <t>currency</t>
    </r>
    <r>
      <rPr>
        <sz val="12"/>
        <color theme="1"/>
        <rFont val="Calibri"/>
        <family val="2"/>
      </rPr>
      <t xml:space="preserve">: Identifies the currency in which the salary is paid (e.g., ZAR, USD, GBP).
</t>
    </r>
    <r>
      <rPr>
        <b/>
        <sz val="12"/>
        <color theme="1"/>
        <rFont val="Calibri"/>
        <family val="2"/>
      </rPr>
      <t>country, state, city</t>
    </r>
    <r>
      <rPr>
        <sz val="12"/>
        <color theme="1"/>
        <rFont val="Calibri"/>
        <family val="2"/>
      </rPr>
      <t xml:space="preserve">: Provide location details of the employee’s workplace.
</t>
    </r>
    <r>
      <rPr>
        <b/>
        <sz val="12"/>
        <color theme="1"/>
        <rFont val="Calibri"/>
        <family val="2"/>
      </rPr>
      <t>manager_id</t>
    </r>
    <r>
      <rPr>
        <sz val="12"/>
        <color theme="1"/>
        <rFont val="Calibri"/>
        <family val="2"/>
      </rPr>
      <t xml:space="preserve">: Links the employee to their manager by referencing another employee_id.
</t>
    </r>
    <r>
      <rPr>
        <b/>
        <sz val="12"/>
        <color theme="1"/>
        <rFont val="Calibri"/>
        <family val="2"/>
      </rPr>
      <t>performance_score</t>
    </r>
    <r>
      <rPr>
        <sz val="12"/>
        <color theme="1"/>
        <rFont val="Calibri"/>
        <family val="2"/>
      </rPr>
      <t>: Reflects the employee’s performance rating (e.g., A, B, C, D).</t>
    </r>
  </si>
  <si>
    <t>Average Salary by Department and Currency</t>
  </si>
  <si>
    <t>Average of salary</t>
  </si>
  <si>
    <t>Total</t>
  </si>
  <si>
    <t>Headcounts By Department</t>
  </si>
  <si>
    <t>Count of employee_id</t>
  </si>
  <si>
    <t>Active vs Inactive Employees by Department</t>
  </si>
  <si>
    <t>FALSE</t>
  </si>
  <si>
    <t>TRUE</t>
  </si>
  <si>
    <t>Hires By Year</t>
  </si>
  <si>
    <t>Year</t>
  </si>
  <si>
    <r>
      <t xml:space="preserve">Week </t>
    </r>
    <r>
      <rPr>
        <b/>
        <sz val="24"/>
        <color theme="5" tint="-0.249977111117893"/>
        <rFont val="Aharoni"/>
        <charset val="177"/>
      </rPr>
      <t>3</t>
    </r>
    <r>
      <rPr>
        <b/>
        <sz val="18"/>
        <color theme="5" tint="-0.249977111117893"/>
        <rFont val="Aharoni"/>
        <charset val="177"/>
      </rPr>
      <t xml:space="preserve"> - Data Cleaning &amp; Preparation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</si>
</sst>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000000"/>
      <name val="Aptos Narrow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5" tint="-0.249977111117893"/>
      <name val="Aharoni"/>
      <charset val="177"/>
    </font>
    <font>
      <b/>
      <sz val="24"/>
      <color theme="5" tint="-0.249977111117893"/>
      <name val="Aharoni"/>
      <charset val="177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0" fontId="0" fillId="0" borderId="0" xfId="0" pivotButton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1" fontId="0" fillId="0" borderId="0" xfId="0" applyNumberFormat="1"/>
    <xf numFmtId="0" fontId="0" fillId="3" borderId="0" xfId="0" applyFill="1"/>
    <xf numFmtId="4" fontId="0" fillId="0" borderId="0" xfId="0" applyNumberFormat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0" fillId="4" borderId="13" xfId="0" applyFill="1" applyBorder="1"/>
    <xf numFmtId="0" fontId="8" fillId="4" borderId="0" xfId="0" applyFont="1" applyFill="1"/>
    <xf numFmtId="0" fontId="9" fillId="4" borderId="0" xfId="0" applyFont="1" applyFill="1"/>
    <xf numFmtId="0" fontId="7" fillId="4" borderId="0" xfId="0" applyFont="1" applyFill="1"/>
    <xf numFmtId="0" fontId="0" fillId="0" borderId="14" xfId="0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0" borderId="0" xfId="0" pivotButton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22">
    <dxf>
      <font>
        <color auto="1"/>
      </font>
      <fill>
        <patternFill>
          <bgColor rgb="FF7030A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C65911"/>
        </patternFill>
      </fill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" formatCode="0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Medium9">
    <tableStyle name="Table Style 1" pivot="0" count="1" xr9:uid="{977DC6E8-4978-447B-8DE3-09491F3546A8}">
      <tableStyleElement type="wholeTable" dxfId="0"/>
    </tableStyle>
  </tableStyles>
  <colors>
    <mruColors>
      <color rgb="FF2A0F5E"/>
      <color rgb="FFC659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[Week-3_PartA_Project.xlsx]headcount by department!PivotTable2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'headcount by department'!$B$2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'headcount by department'!$A$3:$A$9</c:f>
              <c:strCache>
                <c:ptCount val="6"/>
                <c:pt idx="0">
                  <c:v>Human Resources</c:v>
                </c:pt>
                <c:pt idx="1">
                  <c:v>Information Technology</c:v>
                </c:pt>
                <c:pt idx="2">
                  <c:v>Engineering</c:v>
                </c:pt>
                <c:pt idx="3">
                  <c:v>Sales</c:v>
                </c:pt>
                <c:pt idx="4">
                  <c:v>Finance</c:v>
                </c:pt>
                <c:pt idx="5">
                  <c:v>Operations</c:v>
                </c:pt>
              </c:strCache>
            </c:strRef>
          </c:cat>
          <c:val>
            <c:numRef>
              <c:f>'headcount by department'!$B$3:$B$9</c:f>
              <c:numCache>
                <c:formatCode>General</c:formatCode>
                <c:ptCount val="6"/>
                <c:pt idx="0">
                  <c:v>39</c:v>
                </c:pt>
                <c:pt idx="1">
                  <c:v>29</c:v>
                </c:pt>
                <c:pt idx="2">
                  <c:v>27</c:v>
                </c:pt>
                <c:pt idx="3">
                  <c:v>20</c:v>
                </c:pt>
                <c:pt idx="4">
                  <c:v>18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8-4BB5-AB4E-6F9E96991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1054087"/>
        <c:axId val="1571056135"/>
      </c:barChart>
      <c:catAx>
        <c:axId val="1571054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56135"/>
        <c:crosses val="autoZero"/>
        <c:auto val="1"/>
        <c:lblAlgn val="ctr"/>
        <c:lblOffset val="100"/>
        <c:noMultiLvlLbl val="0"/>
      </c:catAx>
      <c:valAx>
        <c:axId val="1571056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54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C6591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561975</xdr:colOff>
      <xdr:row>0</xdr:row>
      <xdr:rowOff>152400</xdr:rowOff>
    </xdr:from>
    <xdr:to>
      <xdr:col>14</xdr:col>
      <xdr:colOff>85725</xdr:colOff>
      <xdr:row>12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1FA5C-051D-419A-AC09-2BA37EAEF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8375" y="152400"/>
          <a:ext cx="2571750" cy="219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</xdr:row>
      <xdr:rowOff>104774</xdr:rowOff>
    </xdr:from>
    <xdr:to>
      <xdr:col>12</xdr:col>
      <xdr:colOff>542925</xdr:colOff>
      <xdr:row>24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BAFDE-313C-A861-DAF8-8BF435FC8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563046180556" createdVersion="8" refreshedVersion="8" minRefreshableVersion="3" recordCount="150" xr:uid="{77323730-5D58-4A8F-8AFD-BE2B897535D8}">
  <cacheSource type="worksheet">
    <worksheetSource name="Week_3_Employee_Data_CLEANED"/>
  </cacheSource>
  <cacheFields count="18">
    <cacheField name="employee_id" numFmtId="0">
      <sharedItems containsSemiMixedTypes="0" containsString="0" containsNumber="1" containsInteger="1" minValue="1001" maxValue="1150"/>
    </cacheField>
    <cacheField name="first_name" numFmtId="0">
      <sharedItems/>
    </cacheField>
    <cacheField name="last_name" numFmtId="0">
      <sharedItems/>
    </cacheField>
    <cacheField name="email" numFmtId="0">
      <sharedItems/>
    </cacheField>
    <cacheField name="gender" numFmtId="0">
      <sharedItems/>
    </cacheField>
    <cacheField name="department" numFmtId="0">
      <sharedItems count="6">
        <s v="Human Resources"/>
        <s v="Operations"/>
        <s v="Sales"/>
        <s v="Information Technology"/>
        <s v="Finance"/>
        <s v="Engineering"/>
      </sharedItems>
    </cacheField>
    <cacheField name="job_title" numFmtId="0">
      <sharedItems/>
    </cacheField>
    <cacheField name="hire_date" numFmtId="14">
      <sharedItems containsSemiMixedTypes="0" containsNonDate="0" containsDate="1" containsString="0" minDate="2015-02-04T00:00:00" maxDate="2022-12-25T00:00:00"/>
    </cacheField>
    <cacheField name="hire_date(YEAR)" numFmtId="1">
      <sharedItems containsSemiMixedTypes="0" containsString="0" containsNumber="1" containsInteger="1" minValue="2015" maxValue="2022" count="8">
        <n v="2017"/>
        <n v="2016"/>
        <n v="2015"/>
        <n v="2019"/>
        <n v="2018"/>
        <n v="2020"/>
        <n v="2022"/>
        <n v="2021"/>
      </sharedItems>
    </cacheField>
    <cacheField name="exit_date" numFmtId="14">
      <sharedItems containsNonDate="0" containsDate="1" containsString="0" containsBlank="1" minDate="2015-12-25T00:00:00" maxDate="2026-10-05T00:00:00"/>
    </cacheField>
    <cacheField name="is_active" numFmtId="0">
      <sharedItems count="2">
        <b v="1"/>
        <b v="0"/>
      </sharedItems>
    </cacheField>
    <cacheField name="salary" numFmtId="0">
      <sharedItems containsSemiMixedTypes="0" containsString="0" containsNumber="1" minValue="7540.22" maxValue="416965.2"/>
    </cacheField>
    <cacheField name="currency" numFmtId="0">
      <sharedItems count="3">
        <s v="GBP"/>
        <s v="USD"/>
        <s v="ZAR"/>
      </sharedItems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manager_id" numFmtId="0">
      <sharedItems containsString="0" containsBlank="1" containsNumber="1" containsInteger="1" minValue="1001" maxValue="1125"/>
    </cacheField>
    <cacheField name="performance_sco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001"/>
    <s v="Ken"/>
    <s v="Naidoo"/>
    <s v="ken.naidoo@example.com"/>
    <s v="Male"/>
    <x v="0"/>
    <s v="Sales Rep"/>
    <d v="2017-05-29T00:00:00"/>
    <x v="0"/>
    <m/>
    <x v="0"/>
    <n v="55286.31"/>
    <x v="0"/>
    <s v="south-africa"/>
    <s v="Western Cape"/>
    <s v=""/>
    <m/>
    <s v=""/>
  </r>
  <r>
    <n v="1002"/>
    <s v="Sam"/>
    <s v="Smith"/>
    <s v="sam.smith@mail.com"/>
    <s v="Male"/>
    <x v="0"/>
    <s v="Sales Rep"/>
    <d v="2016-04-27T00:00:00"/>
    <x v="1"/>
    <m/>
    <x v="0"/>
    <n v="29408.75"/>
    <x v="0"/>
    <s v="south-africa"/>
    <s v="Gauteng"/>
    <s v="Johannesburg"/>
    <n v="1001"/>
    <s v="C"/>
  </r>
  <r>
    <n v="1003"/>
    <s v="Oscar"/>
    <s v="Mthembu"/>
    <s v="oscar.mthembu@mail.com"/>
    <s v="Male"/>
    <x v="1"/>
    <s v="Engineer"/>
    <d v="2015-12-02T00:00:00"/>
    <x v="2"/>
    <m/>
    <x v="1"/>
    <n v="35393.839999999997"/>
    <x v="1"/>
    <s v="South Africa"/>
    <s v="KZN"/>
    <s v="Cape Town"/>
    <m/>
    <s v=""/>
  </r>
  <r>
    <n v="1004"/>
    <s v="Sam"/>
    <s v="Brown"/>
    <s v="sam.brown@example"/>
    <s v="Male"/>
    <x v="2"/>
    <s v="Senior Analyst"/>
    <d v="2016-01-19T00:00:00"/>
    <x v="1"/>
    <m/>
    <x v="0"/>
    <n v="39890.199999999997"/>
    <x v="0"/>
    <s v="United States"/>
    <s v="KZN"/>
    <s v=""/>
    <n v="1003"/>
    <s v="C"/>
  </r>
  <r>
    <n v="1005"/>
    <s v="Faith"/>
    <s v="Mthembu"/>
    <s v="faith.mthembu@mail.com"/>
    <s v="Male"/>
    <x v="0"/>
    <s v="Engineer"/>
    <d v="2019-06-18T00:00:00"/>
    <x v="3"/>
    <d v="2022-01-22T00:00:00"/>
    <x v="1"/>
    <n v="25532.92"/>
    <x v="0"/>
    <s v="United Kingdom"/>
    <s v="Limpopo"/>
    <s v="Polokwane"/>
    <m/>
    <s v="B"/>
  </r>
  <r>
    <n v="1006"/>
    <s v="Esi"/>
    <s v="Dlamini"/>
    <s v="esi.dlaminimail.com"/>
    <s v="Male"/>
    <x v="3"/>
    <s v="Manager"/>
    <d v="2017-12-12T00:00:00"/>
    <x v="0"/>
    <m/>
    <x v="1"/>
    <n v="35024.79"/>
    <x v="0"/>
    <s v="South Africa"/>
    <s v="Limpopo"/>
    <s v=""/>
    <n v="1005"/>
    <s v="D"/>
  </r>
  <r>
    <n v="1007"/>
    <s v="David"/>
    <s v="Zuma"/>
    <s v="david.zuma@example.com"/>
    <s v="Male"/>
    <x v="2"/>
    <s v="Manager"/>
    <d v="2016-03-26T00:00:00"/>
    <x v="1"/>
    <d v="2017-02-28T00:00:00"/>
    <x v="1"/>
    <n v="34989.32"/>
    <x v="2"/>
    <s v="United Kingdom"/>
    <s v="Western Cape"/>
    <s v=""/>
    <n v="1003"/>
    <s v="A"/>
  </r>
  <r>
    <n v="1008"/>
    <s v="David"/>
    <s v="Nguyen"/>
    <s v="david.nguyen@example"/>
    <s v="Other"/>
    <x v="0"/>
    <s v="Senior Analyst"/>
    <d v="2018-11-04T00:00:00"/>
    <x v="4"/>
    <m/>
    <x v="0"/>
    <n v="13943.31"/>
    <x v="0"/>
    <s v="United States"/>
    <s v="Gauteng"/>
    <s v=""/>
    <n v="1006"/>
    <s v=""/>
  </r>
  <r>
    <n v="1009"/>
    <s v="Liam"/>
    <s v="Naidoo"/>
    <s v="liam.naidoo@mail.com"/>
    <s v="Other"/>
    <x v="1"/>
    <s v="Engineer"/>
    <d v="2017-09-07T00:00:00"/>
    <x v="0"/>
    <d v="2020-09-01T00:00:00"/>
    <x v="1"/>
    <n v="47211.9"/>
    <x v="1"/>
    <s v="United Kingdom"/>
    <s v="Western Cape"/>
    <s v=""/>
    <n v="1006"/>
    <s v="C"/>
  </r>
  <r>
    <n v="1010"/>
    <s v="Chipo"/>
    <s v="Nkosi"/>
    <s v="chipo.nkosi@mail.com"/>
    <s v="Male"/>
    <x v="2"/>
    <s v="Analyst"/>
    <d v="2020-05-17T00:00:00"/>
    <x v="5"/>
    <m/>
    <x v="0"/>
    <n v="42205.98"/>
    <x v="1"/>
    <s v="South Africa"/>
    <s v="Limpopo"/>
    <s v=""/>
    <n v="1002"/>
    <s v="D"/>
  </r>
  <r>
    <n v="1011"/>
    <s v="Mai"/>
    <s v="Van Wyk"/>
    <s v="mai.van wykmail.com"/>
    <s v="Female"/>
    <x v="3"/>
    <s v="Accountant"/>
    <d v="2022-10-05T00:00:00"/>
    <x v="6"/>
    <m/>
    <x v="1"/>
    <n v="27494.85"/>
    <x v="2"/>
    <s v="South Africa"/>
    <s v="Gauteng"/>
    <s v=""/>
    <m/>
    <s v="B"/>
  </r>
  <r>
    <n v="1012"/>
    <s v="Nia"/>
    <s v="Nguyen"/>
    <s v="nia.nguyen@company.co.za"/>
    <s v="Female"/>
    <x v="2"/>
    <s v="Engineer"/>
    <d v="2021-07-30T00:00:00"/>
    <x v="7"/>
    <m/>
    <x v="0"/>
    <n v="32941.42"/>
    <x v="0"/>
    <s v="United States"/>
    <s v="Limpopo"/>
    <s v=""/>
    <m/>
    <s v="B"/>
  </r>
  <r>
    <n v="1013"/>
    <s v="Que"/>
    <s v="Khan"/>
    <s v="que.khan@example.com"/>
    <s v="Female"/>
    <x v="0"/>
    <s v="Manager"/>
    <d v="2016-08-02T00:00:00"/>
    <x v="1"/>
    <m/>
    <x v="1"/>
    <n v="41063.589999999997"/>
    <x v="2"/>
    <s v="United States"/>
    <s v="Gauteng"/>
    <s v="Cape Town"/>
    <n v="1001"/>
    <s v="D"/>
  </r>
  <r>
    <n v="1014"/>
    <s v="Rae"/>
    <s v="Moyo"/>
    <s v="rae.moyo@mail.com"/>
    <s v="Female"/>
    <x v="2"/>
    <s v="Sales Rep"/>
    <d v="2020-12-24T00:00:00"/>
    <x v="5"/>
    <d v="2023-12-30T00:00:00"/>
    <x v="1"/>
    <n v="31863.72"/>
    <x v="2"/>
    <s v="United States"/>
    <s v="Western Cape"/>
    <s v="Polokwane"/>
    <n v="1008"/>
    <s v="D"/>
  </r>
  <r>
    <n v="1015"/>
    <s v="Chipo"/>
    <s v="Nkosi"/>
    <s v="chipo.nkosi@company.co.za"/>
    <s v="Other"/>
    <x v="0"/>
    <s v="Accountant"/>
    <d v="2017-06-18T00:00:00"/>
    <x v="0"/>
    <m/>
    <x v="0"/>
    <n v="32087.01"/>
    <x v="1"/>
    <s v="United States"/>
    <s v="Limpopo"/>
    <s v="Durban"/>
    <n v="1006"/>
    <s v="A"/>
  </r>
  <r>
    <n v="1016"/>
    <s v="Ken"/>
    <s v="Khan"/>
    <s v="ken.khan@example"/>
    <s v="Other"/>
    <x v="3"/>
    <s v="Data Scientist"/>
    <d v="2020-09-29T00:00:00"/>
    <x v="5"/>
    <m/>
    <x v="0"/>
    <n v="17561.099999999999"/>
    <x v="2"/>
    <s v="South Africa"/>
    <s v="KZN"/>
    <s v=""/>
    <n v="1007"/>
    <s v="D"/>
  </r>
  <r>
    <n v="1017"/>
    <s v="Esi"/>
    <s v="Khan"/>
    <s v="esi.khancompany.co.za"/>
    <s v="Other"/>
    <x v="1"/>
    <s v="Manager"/>
    <d v="2019-10-09T00:00:00"/>
    <x v="3"/>
    <d v="2020-05-07T00:00:00"/>
    <x v="1"/>
    <n v="41654.959999999999"/>
    <x v="2"/>
    <s v="United States"/>
    <s v="Gauteng"/>
    <s v="Durban"/>
    <m/>
    <s v=""/>
  </r>
  <r>
    <n v="1018"/>
    <s v="Esi"/>
    <s v="Moyo"/>
    <s v="esi.moyocompany.co.za"/>
    <s v="Female"/>
    <x v="4"/>
    <s v="Data Scientist"/>
    <d v="2022-01-19T00:00:00"/>
    <x v="6"/>
    <m/>
    <x v="0"/>
    <n v="36486.57"/>
    <x v="2"/>
    <s v="South Africa"/>
    <s v="Gauteng"/>
    <s v=""/>
    <n v="1007"/>
    <s v="D"/>
  </r>
  <r>
    <n v="1019"/>
    <s v="David"/>
    <s v="Govender"/>
    <s v="david.govender@company.co.za"/>
    <s v="Male"/>
    <x v="4"/>
    <s v="Clerk"/>
    <d v="2017-03-24T00:00:00"/>
    <x v="0"/>
    <m/>
    <x v="1"/>
    <n v="38293.519999999997"/>
    <x v="2"/>
    <s v="south-africa"/>
    <s v=""/>
    <s v=""/>
    <m/>
    <s v="A"/>
  </r>
  <r>
    <n v="1020"/>
    <s v="Vin"/>
    <s v="Nguyen"/>
    <s v="vin.nguyencompany.co.za"/>
    <s v="Female"/>
    <x v="0"/>
    <s v="Manager"/>
    <d v="2018-01-06T00:00:00"/>
    <x v="4"/>
    <m/>
    <x v="1"/>
    <n v="16681.71"/>
    <x v="1"/>
    <s v="South Africa"/>
    <s v="Gauteng"/>
    <s v="Durban"/>
    <n v="1016"/>
    <s v="B"/>
  </r>
  <r>
    <n v="1021"/>
    <s v="Que"/>
    <s v="Brown"/>
    <s v="que.brown@example.com"/>
    <s v="Female"/>
    <x v="3"/>
    <s v="Analyst"/>
    <d v="2019-02-06T00:00:00"/>
    <x v="3"/>
    <m/>
    <x v="0"/>
    <n v="54808.4"/>
    <x v="2"/>
    <s v="United Kingdom"/>
    <s v="KZN"/>
    <s v=""/>
    <m/>
    <s v="B"/>
  </r>
  <r>
    <n v="1022"/>
    <s v="Bob"/>
    <s v="Nguyen"/>
    <s v="bob.nguyen@mail.com"/>
    <s v="Male"/>
    <x v="0"/>
    <s v="Manager"/>
    <d v="2022-02-22T00:00:00"/>
    <x v="6"/>
    <m/>
    <x v="0"/>
    <n v="36852.03"/>
    <x v="1"/>
    <s v="United Kingdom"/>
    <s v="Gauteng"/>
    <s v="Polokwane"/>
    <n v="1017"/>
    <s v=""/>
  </r>
  <r>
    <n v="1023"/>
    <s v="Chipo"/>
    <s v="Van Wyk"/>
    <s v="chipo.van wyk@company.co.za"/>
    <s v="Other"/>
    <x v="1"/>
    <s v="Engineer"/>
    <d v="2017-08-03T00:00:00"/>
    <x v="0"/>
    <m/>
    <x v="1"/>
    <n v="30354.32"/>
    <x v="2"/>
    <s v="South Africa"/>
    <s v="Gauteng"/>
    <s v="Pretoria"/>
    <n v="1009"/>
    <s v=""/>
  </r>
  <r>
    <n v="1024"/>
    <s v="Sam"/>
    <s v="Naidoo"/>
    <s v="sam.naidoo@example"/>
    <s v="Male"/>
    <x v="3"/>
    <s v="Senior Analyst"/>
    <d v="2022-10-06T00:00:00"/>
    <x v="6"/>
    <m/>
    <x v="1"/>
    <n v="59348.87"/>
    <x v="0"/>
    <s v="South Africa"/>
    <s v="KZN"/>
    <s v="Johannesburg"/>
    <m/>
    <s v="A"/>
  </r>
  <r>
    <n v="1025"/>
    <s v="Abel"/>
    <s v="Khan"/>
    <s v="abel.khan@mail.com"/>
    <s v="Male"/>
    <x v="4"/>
    <s v="Senior Analyst"/>
    <d v="2021-09-07T00:00:00"/>
    <x v="7"/>
    <m/>
    <x v="1"/>
    <n v="34455.370000000003"/>
    <x v="0"/>
    <s v="United Kingdom"/>
    <s v="Gauteng"/>
    <s v=""/>
    <n v="1016"/>
    <s v="D"/>
  </r>
  <r>
    <n v="1026"/>
    <s v="Alice"/>
    <s v="Naidoo"/>
    <s v="alice.naidoo@example"/>
    <s v="Female"/>
    <x v="0"/>
    <s v="HR Officer"/>
    <d v="2018-11-09T00:00:00"/>
    <x v="4"/>
    <m/>
    <x v="1"/>
    <n v="17591.86"/>
    <x v="2"/>
    <s v="South Africa"/>
    <s v="KZN"/>
    <s v="Durban"/>
    <n v="1003"/>
    <s v="A"/>
  </r>
  <r>
    <n v="1027"/>
    <s v="Liam"/>
    <s v="Smith"/>
    <s v="liam.smithexample.com"/>
    <s v="Male"/>
    <x v="3"/>
    <s v="Data Scientist"/>
    <d v="2022-02-13T00:00:00"/>
    <x v="6"/>
    <m/>
    <x v="1"/>
    <n v="30137.27"/>
    <x v="2"/>
    <s v="United Kingdom"/>
    <s v="Gauteng"/>
    <s v="Pretoria"/>
    <m/>
    <s v="D"/>
  </r>
  <r>
    <n v="1028"/>
    <s v="Tari"/>
    <s v="Brown"/>
    <s v="tari.brown@example.com"/>
    <s v="Male"/>
    <x v="2"/>
    <s v="Manager"/>
    <d v="2016-11-30T00:00:00"/>
    <x v="1"/>
    <m/>
    <x v="1"/>
    <n v="7540.22"/>
    <x v="0"/>
    <s v="United Kingdom"/>
    <s v="Gauteng"/>
    <s v="Cape Town"/>
    <n v="1003"/>
    <s v=""/>
  </r>
  <r>
    <n v="1029"/>
    <s v="Henry"/>
    <s v="Zuma"/>
    <s v="henry.zuma@mail.com"/>
    <s v="Male"/>
    <x v="4"/>
    <s v="Senior Analyst"/>
    <d v="2016-12-16T00:00:00"/>
    <x v="1"/>
    <d v="2018-06-28T00:00:00"/>
    <x v="1"/>
    <n v="380742.08"/>
    <x v="1"/>
    <s v="United Kingdom"/>
    <s v="Gauteng"/>
    <s v="Pretoria"/>
    <n v="1009"/>
    <s v="D"/>
  </r>
  <r>
    <n v="1030"/>
    <s v="Isaac"/>
    <s v="Mthembu"/>
    <s v="isaac.mthembu@example.com"/>
    <s v="Male"/>
    <x v="4"/>
    <s v="HR Officer"/>
    <d v="2019-06-26T00:00:00"/>
    <x v="3"/>
    <m/>
    <x v="0"/>
    <n v="30002.31"/>
    <x v="1"/>
    <s v="United States"/>
    <s v="Gauteng"/>
    <s v="Johannesburg"/>
    <n v="1027"/>
    <s v="D"/>
  </r>
  <r>
    <n v="1031"/>
    <s v="Henry"/>
    <s v="Brown"/>
    <s v="henry.brown@mail.com"/>
    <s v="Male"/>
    <x v="3"/>
    <s v="Senior Analyst"/>
    <d v="2022-11-11T00:00:00"/>
    <x v="6"/>
    <m/>
    <x v="0"/>
    <n v="26089.360000000001"/>
    <x v="2"/>
    <s v="United Kingdom"/>
    <s v="Western Cape"/>
    <s v=""/>
    <n v="1021"/>
    <s v="A"/>
  </r>
  <r>
    <n v="1032"/>
    <s v="Chipo"/>
    <s v="Pillay"/>
    <s v="chipo.pillay@mail.com"/>
    <s v="Male"/>
    <x v="0"/>
    <s v="Analyst"/>
    <d v="2021-01-10T00:00:00"/>
    <x v="7"/>
    <m/>
    <x v="0"/>
    <n v="47869.64"/>
    <x v="1"/>
    <s v="United Kingdom"/>
    <s v="Gauteng"/>
    <s v="Johannesburg"/>
    <n v="1029"/>
    <s v="A"/>
  </r>
  <r>
    <n v="1033"/>
    <s v="Isaac"/>
    <s v="Nkosi"/>
    <s v="isaac.nkosiexample"/>
    <s v="Female"/>
    <x v="5"/>
    <s v="HR Officer"/>
    <d v="2019-01-24T00:00:00"/>
    <x v="3"/>
    <m/>
    <x v="0"/>
    <n v="15187.09"/>
    <x v="2"/>
    <s v="South Africa"/>
    <s v="Limpopo"/>
    <s v="Cape Town"/>
    <n v="1019"/>
    <s v="D"/>
  </r>
  <r>
    <n v="1034"/>
    <s v="Tari"/>
    <s v="Naidoo"/>
    <s v="tari.naidoo@example.com"/>
    <s v="Female"/>
    <x v="0"/>
    <s v="HR Officer"/>
    <d v="2015-08-11T00:00:00"/>
    <x v="2"/>
    <d v="2015-12-25T00:00:00"/>
    <x v="1"/>
    <n v="41425.15"/>
    <x v="1"/>
    <s v="south-africa"/>
    <s v="Gauteng"/>
    <s v="Cape Town"/>
    <n v="1012"/>
    <s v="D"/>
  </r>
  <r>
    <n v="1035"/>
    <s v="Bob"/>
    <s v="Pillay"/>
    <s v="bob.pillay@example"/>
    <s v="Male"/>
    <x v="0"/>
    <s v="Senior Analyst"/>
    <d v="2018-02-20T00:00:00"/>
    <x v="4"/>
    <m/>
    <x v="0"/>
    <n v="10227.02"/>
    <x v="1"/>
    <s v="United Kingdom"/>
    <s v="Gauteng"/>
    <s v="Johannesburg"/>
    <n v="1013"/>
    <s v="B"/>
  </r>
  <r>
    <n v="1036"/>
    <s v="Ken"/>
    <s v="Ndlovu"/>
    <s v="ken.ndlovu@mail.com"/>
    <s v="Other"/>
    <x v="1"/>
    <s v="HR Officer"/>
    <d v="2015-06-16T00:00:00"/>
    <x v="2"/>
    <m/>
    <x v="0"/>
    <n v="27054.09"/>
    <x v="1"/>
    <s v="United Kingdom"/>
    <s v="KZN"/>
    <s v="Durban"/>
    <m/>
    <s v="C"/>
  </r>
  <r>
    <n v="1037"/>
    <s v="Isaac"/>
    <s v="Pillay"/>
    <s v="isaac.pillay@mail.com"/>
    <s v="Other"/>
    <x v="1"/>
    <s v="Accountant"/>
    <d v="2019-05-03T00:00:00"/>
    <x v="3"/>
    <m/>
    <x v="0"/>
    <n v="20549.36"/>
    <x v="0"/>
    <s v="United Kingdom"/>
    <s v=""/>
    <s v=""/>
    <n v="1016"/>
    <s v="D"/>
  </r>
  <r>
    <n v="1038"/>
    <s v="Liam"/>
    <s v="Brown"/>
    <s v="liam.brown@mail.com"/>
    <s v="Female"/>
    <x v="0"/>
    <s v="Analyst"/>
    <d v="2020-05-27T00:00:00"/>
    <x v="5"/>
    <m/>
    <x v="0"/>
    <n v="52543.71"/>
    <x v="2"/>
    <s v="United Kingdom"/>
    <s v="Limpopo"/>
    <s v=""/>
    <m/>
    <s v="D"/>
  </r>
  <r>
    <n v="1039"/>
    <s v="Oscar"/>
    <s v="Mthembu"/>
    <s v="oscar.mthembu@company.co.za"/>
    <s v="Male"/>
    <x v="4"/>
    <s v="Clerk"/>
    <d v="2017-11-06T00:00:00"/>
    <x v="0"/>
    <d v="2019-04-22T00:00:00"/>
    <x v="1"/>
    <n v="56193.93"/>
    <x v="2"/>
    <s v="United Kingdom"/>
    <s v="KZN"/>
    <s v="Cape Town"/>
    <n v="1015"/>
    <s v="D"/>
  </r>
  <r>
    <n v="1040"/>
    <s v="Bob"/>
    <s v="Dlamini"/>
    <s v="bob.dlamini@example"/>
    <s v="Other"/>
    <x v="0"/>
    <s v="Data Scientist"/>
    <d v="2017-11-08T00:00:00"/>
    <x v="0"/>
    <d v="2022-05-02T00:00:00"/>
    <x v="1"/>
    <n v="31047.03"/>
    <x v="1"/>
    <s v="United Kingdom"/>
    <s v="Gauteng"/>
    <s v="Johannesburg"/>
    <n v="1039"/>
    <s v="B"/>
  </r>
  <r>
    <n v="1041"/>
    <s v="Bob"/>
    <s v="Ndlovu"/>
    <s v="bob.ndlovu@mail.com"/>
    <s v="Female"/>
    <x v="0"/>
    <s v="Engineer"/>
    <d v="2015-02-16T00:00:00"/>
    <x v="2"/>
    <m/>
    <x v="1"/>
    <n v="360710.40000000002"/>
    <x v="1"/>
    <s v="south-africa"/>
    <s v="Limpopo"/>
    <s v="Johannesburg"/>
    <n v="1036"/>
    <s v="A"/>
  </r>
  <r>
    <n v="1042"/>
    <s v="Una"/>
    <s v="Naidoo"/>
    <s v="una.naidoo@company.co.za"/>
    <s v="Female"/>
    <x v="5"/>
    <s v="Analyst"/>
    <d v="2018-07-03T00:00:00"/>
    <x v="4"/>
    <m/>
    <x v="0"/>
    <n v="32840.160000000003"/>
    <x v="2"/>
    <s v="United Kingdom"/>
    <s v="Limpopo"/>
    <s v="Polokwane"/>
    <n v="1001"/>
    <s v="D"/>
  </r>
  <r>
    <n v="1043"/>
    <s v="David"/>
    <s v="Nguyen"/>
    <s v="david.nguyen@example"/>
    <s v="Male"/>
    <x v="0"/>
    <s v="Analyst"/>
    <d v="2015-07-31T00:00:00"/>
    <x v="2"/>
    <m/>
    <x v="0"/>
    <n v="41816.74"/>
    <x v="2"/>
    <s v="South Africa"/>
    <s v="KZN"/>
    <s v="Durban"/>
    <n v="1011"/>
    <s v="D"/>
  </r>
  <r>
    <n v="1044"/>
    <s v="Pat"/>
    <s v="Brown"/>
    <s v="pat.brown@example.com"/>
    <s v="Female"/>
    <x v="2"/>
    <s v="Clerk"/>
    <d v="2015-08-07T00:00:00"/>
    <x v="2"/>
    <d v="2019-09-03T00:00:00"/>
    <x v="1"/>
    <n v="25965.95"/>
    <x v="2"/>
    <s v="United Kingdom"/>
    <s v=""/>
    <s v=""/>
    <n v="1031"/>
    <s v="A"/>
  </r>
  <r>
    <n v="1045"/>
    <s v="Mai"/>
    <s v="Khan"/>
    <s v="mai.khan@example.com"/>
    <s v="Other"/>
    <x v="1"/>
    <s v="Engineer"/>
    <d v="2015-06-18T00:00:00"/>
    <x v="2"/>
    <m/>
    <x v="1"/>
    <n v="14499.93"/>
    <x v="0"/>
    <s v="United Kingdom"/>
    <s v="Limpopo"/>
    <s v="Polokwane"/>
    <n v="1016"/>
    <s v="D"/>
  </r>
  <r>
    <n v="1046"/>
    <s v="Que"/>
    <s v="Zuma"/>
    <s v="que.zuma@example"/>
    <s v="Female"/>
    <x v="2"/>
    <s v="Accountant"/>
    <d v="2017-01-05T00:00:00"/>
    <x v="0"/>
    <d v="2019-02-08T00:00:00"/>
    <x v="1"/>
    <n v="13362.82"/>
    <x v="2"/>
    <s v="South Africa"/>
    <s v="Western Cape"/>
    <s v="Cape Town"/>
    <n v="1021"/>
    <s v="A"/>
  </r>
  <r>
    <n v="1047"/>
    <s v="Bob"/>
    <s v="Brown"/>
    <s v="bob.brown@example.com"/>
    <s v="Female"/>
    <x v="1"/>
    <s v="Senior Analyst"/>
    <d v="2017-04-03T00:00:00"/>
    <x v="0"/>
    <m/>
    <x v="1"/>
    <n v="39597.46"/>
    <x v="0"/>
    <s v="South Africa"/>
    <s v="Gauteng"/>
    <s v=""/>
    <n v="1017"/>
    <s v="C"/>
  </r>
  <r>
    <n v="1048"/>
    <s v="Chad"/>
    <s v="Nguyen"/>
    <s v="chad.nguyen@example"/>
    <s v="Male"/>
    <x v="4"/>
    <s v="Sales Rep"/>
    <d v="2017-08-30T00:00:00"/>
    <x v="0"/>
    <d v="2018-08-25T00:00:00"/>
    <x v="1"/>
    <n v="61971.14"/>
    <x v="1"/>
    <s v="south-africa"/>
    <s v="Gauteng"/>
    <s v="Johannesburg"/>
    <n v="1024"/>
    <s v=""/>
  </r>
  <r>
    <n v="1049"/>
    <s v="Que"/>
    <s v="Mthembu"/>
    <s v="que.mthembu@company.co.za"/>
    <s v="Female"/>
    <x v="5"/>
    <s v="Manager"/>
    <d v="2019-01-15T00:00:00"/>
    <x v="3"/>
    <d v="2022-07-28T00:00:00"/>
    <x v="1"/>
    <n v="38232.94"/>
    <x v="0"/>
    <s v="United Kingdom"/>
    <s v="Gauteng"/>
    <s v="Johannesburg"/>
    <n v="1015"/>
    <s v="D"/>
  </r>
  <r>
    <n v="1050"/>
    <s v="Nia"/>
    <s v="Khan"/>
    <s v="nia.khan@example"/>
    <s v="Female"/>
    <x v="3"/>
    <s v="Analyst"/>
    <d v="2015-02-04T00:00:00"/>
    <x v="2"/>
    <m/>
    <x v="1"/>
    <n v="28704.74"/>
    <x v="0"/>
    <s v="United Kingdom"/>
    <s v="Western Cape"/>
    <s v="Cape Town"/>
    <n v="1040"/>
    <s v="B"/>
  </r>
  <r>
    <n v="1051"/>
    <s v="Alice"/>
    <s v="Brown"/>
    <s v="alice.brownexample.com"/>
    <s v="Female"/>
    <x v="0"/>
    <s v="Data Scientist"/>
    <d v="2019-07-05T00:00:00"/>
    <x v="3"/>
    <d v="2024-03-11T00:00:00"/>
    <x v="1"/>
    <n v="57944.23"/>
    <x v="0"/>
    <s v="United States"/>
    <s v="Western Cape"/>
    <s v="Cape Town"/>
    <m/>
    <s v="A"/>
  </r>
  <r>
    <n v="1052"/>
    <s v="Mai"/>
    <s v="Naidoo"/>
    <s v="mai.naidooexample.com"/>
    <s v="Male"/>
    <x v="2"/>
    <s v="Engineer"/>
    <d v="2016-08-05T00:00:00"/>
    <x v="1"/>
    <m/>
    <x v="1"/>
    <n v="37847.620000000003"/>
    <x v="1"/>
    <s v="South Africa"/>
    <s v=""/>
    <s v=""/>
    <m/>
    <s v="D"/>
  </r>
  <r>
    <n v="1053"/>
    <s v="Chipo"/>
    <s v="Van Wyk"/>
    <s v="chipo.van wyk@example.com"/>
    <s v="Female"/>
    <x v="3"/>
    <s v="Analyst"/>
    <d v="2016-05-19T00:00:00"/>
    <x v="1"/>
    <m/>
    <x v="1"/>
    <n v="36217.21"/>
    <x v="1"/>
    <s v="United States"/>
    <s v="KZN"/>
    <s v="Durban"/>
    <n v="1014"/>
    <s v="A"/>
  </r>
  <r>
    <n v="1054"/>
    <s v="Faith"/>
    <s v="Pillay"/>
    <s v="faith.pillay@company.co.za"/>
    <s v="Male"/>
    <x v="5"/>
    <s v="Clerk"/>
    <d v="2021-09-28T00:00:00"/>
    <x v="7"/>
    <m/>
    <x v="1"/>
    <n v="38030.93"/>
    <x v="2"/>
    <s v="United Kingdom"/>
    <s v="Western Cape"/>
    <s v="Cape Town"/>
    <n v="1020"/>
    <s v=""/>
  </r>
  <r>
    <n v="1055"/>
    <s v="Sam"/>
    <s v="Dlamini"/>
    <s v="sam.dlamini@example.com"/>
    <s v="Male"/>
    <x v="3"/>
    <s v="Manager"/>
    <d v="2018-11-13T00:00:00"/>
    <x v="4"/>
    <d v="2019-09-22T00:00:00"/>
    <x v="1"/>
    <n v="33411.47"/>
    <x v="2"/>
    <s v="United Kingdom"/>
    <s v="Western Cape"/>
    <s v=""/>
    <m/>
    <s v="D"/>
  </r>
  <r>
    <n v="1056"/>
    <s v="David"/>
    <s v="Nkosi"/>
    <s v="david.nkosiexample.com"/>
    <s v="Other"/>
    <x v="1"/>
    <s v="Senior Analyst"/>
    <d v="2022-01-30T00:00:00"/>
    <x v="6"/>
    <d v="2026-08-08T00:00:00"/>
    <x v="1"/>
    <n v="31286.28"/>
    <x v="2"/>
    <s v="United Kingdom"/>
    <s v="KZN"/>
    <s v="Durban"/>
    <n v="1049"/>
    <s v=""/>
  </r>
  <r>
    <n v="1057"/>
    <s v="Que"/>
    <s v="Zuma"/>
    <s v="que.zuma@example.com"/>
    <s v="Male"/>
    <x v="1"/>
    <s v="Senior Analyst"/>
    <d v="2018-11-21T00:00:00"/>
    <x v="4"/>
    <m/>
    <x v="0"/>
    <n v="17780.439999999999"/>
    <x v="0"/>
    <s v="South Africa"/>
    <s v="KZN"/>
    <s v=""/>
    <m/>
    <s v="A"/>
  </r>
  <r>
    <n v="1058"/>
    <s v="Pat"/>
    <s v="Van Wyk"/>
    <s v="pat.van wyk@company.co.za"/>
    <s v="Male"/>
    <x v="0"/>
    <s v="Data Scientist"/>
    <d v="2017-05-29T00:00:00"/>
    <x v="0"/>
    <d v="2021-01-21T00:00:00"/>
    <x v="1"/>
    <n v="41019.49"/>
    <x v="2"/>
    <s v="United Kingdom"/>
    <s v="KZN"/>
    <s v="Johannesburg"/>
    <n v="1026"/>
    <s v="D"/>
  </r>
  <r>
    <n v="1059"/>
    <s v="Chad"/>
    <s v="Govender"/>
    <s v="chad.govender@company.co.za"/>
    <s v="Female"/>
    <x v="2"/>
    <s v="Sales Rep"/>
    <d v="2016-12-01T00:00:00"/>
    <x v="1"/>
    <d v="2019-08-01T00:00:00"/>
    <x v="1"/>
    <n v="33862.69"/>
    <x v="2"/>
    <s v="United Kingdom"/>
    <s v="KZN"/>
    <s v="Durban"/>
    <n v="1056"/>
    <s v="C"/>
  </r>
  <r>
    <n v="1060"/>
    <s v="Faith"/>
    <s v="Zuma"/>
    <s v="faith.zuma@mail.com"/>
    <s v="Male"/>
    <x v="3"/>
    <s v="Engineer"/>
    <d v="2020-09-10T00:00:00"/>
    <x v="5"/>
    <m/>
    <x v="0"/>
    <n v="49317.03"/>
    <x v="0"/>
    <s v="United States"/>
    <s v="KZN"/>
    <s v="Cape Town"/>
    <n v="1013"/>
    <s v="B"/>
  </r>
  <r>
    <n v="1061"/>
    <s v="Vin"/>
    <s v="Dlamini"/>
    <s v="vin.dlamini@mail.com"/>
    <s v="Male"/>
    <x v="1"/>
    <s v="Data Scientist"/>
    <d v="2019-11-17T00:00:00"/>
    <x v="3"/>
    <m/>
    <x v="1"/>
    <n v="30574.18"/>
    <x v="1"/>
    <s v="United Kingdom"/>
    <s v="Western Cape"/>
    <s v="Cape Town"/>
    <n v="1041"/>
    <s v="B"/>
  </r>
  <r>
    <n v="1062"/>
    <s v="Isaac"/>
    <s v="Mthembu"/>
    <s v="isaac.mthembu@example"/>
    <s v="Male"/>
    <x v="3"/>
    <s v="HR Officer"/>
    <d v="2017-07-25T00:00:00"/>
    <x v="0"/>
    <m/>
    <x v="0"/>
    <n v="12123.56"/>
    <x v="1"/>
    <s v="United Kingdom"/>
    <s v=""/>
    <s v=""/>
    <n v="1027"/>
    <s v="B"/>
  </r>
  <r>
    <n v="1063"/>
    <s v="Isaac"/>
    <s v="Nguyen"/>
    <s v="isaac.nguyen@example.com"/>
    <s v="Female"/>
    <x v="5"/>
    <s v="Sales Rep"/>
    <d v="2022-07-28T00:00:00"/>
    <x v="6"/>
    <m/>
    <x v="1"/>
    <n v="33804.67"/>
    <x v="2"/>
    <s v="South Africa"/>
    <s v="KZN"/>
    <s v="Pretoria"/>
    <n v="1046"/>
    <s v=""/>
  </r>
  <r>
    <n v="1064"/>
    <s v="Liam"/>
    <s v="Dlamini"/>
    <s v="liam.dlamini@example.com"/>
    <s v="Male"/>
    <x v="5"/>
    <s v="Sales Rep"/>
    <d v="2018-11-05T00:00:00"/>
    <x v="4"/>
    <d v="2022-10-06T00:00:00"/>
    <x v="1"/>
    <n v="55394.45"/>
    <x v="0"/>
    <s v="United Kingdom"/>
    <s v="Gauteng"/>
    <s v="Johannesburg"/>
    <n v="1025"/>
    <s v="A"/>
  </r>
  <r>
    <n v="1065"/>
    <s v="Nia"/>
    <s v="Smith"/>
    <s v="nia.smith@mail.com"/>
    <s v="Female"/>
    <x v="5"/>
    <s v="Sales Rep"/>
    <d v="2017-06-15T00:00:00"/>
    <x v="0"/>
    <m/>
    <x v="0"/>
    <n v="30398.92"/>
    <x v="0"/>
    <s v="South Africa"/>
    <s v="Limpopo"/>
    <s v=""/>
    <n v="1029"/>
    <s v="C"/>
  </r>
  <r>
    <n v="1066"/>
    <s v="Vin"/>
    <s v="Govender"/>
    <s v="vin.govender@mail.com"/>
    <s v="Female"/>
    <x v="2"/>
    <s v="Clerk"/>
    <d v="2017-08-01T00:00:00"/>
    <x v="0"/>
    <m/>
    <x v="1"/>
    <n v="24321.72"/>
    <x v="1"/>
    <s v="United Kingdom"/>
    <s v="Western Cape"/>
    <s v=""/>
    <n v="1062"/>
    <s v="A"/>
  </r>
  <r>
    <n v="1067"/>
    <s v="Vin"/>
    <s v="Ndlovu"/>
    <s v="vin.ndlovu@example.com"/>
    <s v="Male"/>
    <x v="3"/>
    <s v="Clerk"/>
    <d v="2016-07-29T00:00:00"/>
    <x v="1"/>
    <m/>
    <x v="0"/>
    <n v="20676.900000000001"/>
    <x v="0"/>
    <s v="south-africa"/>
    <s v="Western Cape"/>
    <s v="Cape Town"/>
    <m/>
    <s v="C"/>
  </r>
  <r>
    <n v="1068"/>
    <s v="Zed"/>
    <s v="Naidoo"/>
    <s v="zed.naidoo@example.com"/>
    <s v="Female"/>
    <x v="2"/>
    <s v="Data Scientist"/>
    <d v="2017-03-19T00:00:00"/>
    <x v="0"/>
    <d v="2021-12-31T00:00:00"/>
    <x v="1"/>
    <n v="22399.8"/>
    <x v="2"/>
    <s v="South Africa"/>
    <s v="Limpopo"/>
    <s v="Polokwane"/>
    <n v="1062"/>
    <s v="D"/>
  </r>
  <r>
    <n v="1069"/>
    <s v="Henry"/>
    <s v="Zuma"/>
    <s v="henry.zuma@company.co.za"/>
    <s v="Male"/>
    <x v="3"/>
    <s v="Accountant"/>
    <d v="2022-06-18T00:00:00"/>
    <x v="6"/>
    <m/>
    <x v="0"/>
    <n v="31397.68"/>
    <x v="2"/>
    <s v="South Africa"/>
    <s v=""/>
    <s v=""/>
    <m/>
    <s v=""/>
  </r>
  <r>
    <n v="1070"/>
    <s v="Pat"/>
    <s v="Zuma"/>
    <s v="pat.zuma@example"/>
    <s v="Female"/>
    <x v="5"/>
    <s v="Senior Analyst"/>
    <d v="2022-05-23T00:00:00"/>
    <x v="6"/>
    <m/>
    <x v="0"/>
    <n v="20840.21"/>
    <x v="2"/>
    <s v="United Kingdom"/>
    <s v="KZN"/>
    <s v="Durban"/>
    <m/>
    <s v="C"/>
  </r>
  <r>
    <n v="1071"/>
    <s v="Bea"/>
    <s v="Khan"/>
    <s v="bea.khan@example.com"/>
    <s v="Male"/>
    <x v="5"/>
    <s v="Data Scientist"/>
    <d v="2016-06-06T00:00:00"/>
    <x v="1"/>
    <m/>
    <x v="0"/>
    <n v="52971.67"/>
    <x v="0"/>
    <s v="South Africa"/>
    <s v="Limpopo"/>
    <s v="Durban"/>
    <n v="1006"/>
    <s v=""/>
  </r>
  <r>
    <n v="1072"/>
    <s v="Yara"/>
    <s v="Govender"/>
    <s v="yara.govender@example.com"/>
    <s v="Male"/>
    <x v="3"/>
    <s v="Accountant"/>
    <d v="2022-01-05T00:00:00"/>
    <x v="6"/>
    <d v="2022-04-20T00:00:00"/>
    <x v="1"/>
    <n v="31608.38"/>
    <x v="2"/>
    <s v="United Kingdom"/>
    <s v=""/>
    <s v=""/>
    <n v="1039"/>
    <s v="C"/>
  </r>
  <r>
    <n v="1073"/>
    <s v="Alice"/>
    <s v="Smith"/>
    <s v="alice.smith@example.com"/>
    <s v="Male"/>
    <x v="5"/>
    <s v="HR Officer"/>
    <d v="2020-03-01T00:00:00"/>
    <x v="5"/>
    <m/>
    <x v="0"/>
    <n v="36303.78"/>
    <x v="0"/>
    <s v="United States"/>
    <s v="Western Cape"/>
    <s v="Cape Town"/>
    <m/>
    <s v="A"/>
  </r>
  <r>
    <n v="1074"/>
    <s v="Grace"/>
    <s v="Nguyen"/>
    <s v="grace.nguyen@example.com"/>
    <s v="Male"/>
    <x v="3"/>
    <s v="Engineer"/>
    <d v="2020-01-21T00:00:00"/>
    <x v="5"/>
    <d v="2024-06-23T00:00:00"/>
    <x v="1"/>
    <n v="52258.87"/>
    <x v="1"/>
    <s v="United States"/>
    <s v="Limpopo"/>
    <s v="Polokwane"/>
    <n v="1033"/>
    <s v="A"/>
  </r>
  <r>
    <n v="1075"/>
    <s v="Alice"/>
    <s v="Moyo"/>
    <s v="alice.moyo@company.co.za"/>
    <s v="Male"/>
    <x v="3"/>
    <s v="Manager"/>
    <d v="2020-06-15T00:00:00"/>
    <x v="5"/>
    <m/>
    <x v="1"/>
    <n v="53039.82"/>
    <x v="2"/>
    <s v="United Kingdom"/>
    <s v="Western Cape"/>
    <s v="Cape Town"/>
    <n v="1054"/>
    <s v="C"/>
  </r>
  <r>
    <n v="1076"/>
    <s v="Zed"/>
    <s v="Brown"/>
    <s v="zed.brown@example.com"/>
    <s v="Other"/>
    <x v="3"/>
    <s v="Clerk"/>
    <d v="2021-10-17T00:00:00"/>
    <x v="7"/>
    <d v="2026-07-18T00:00:00"/>
    <x v="1"/>
    <n v="32447.200000000001"/>
    <x v="0"/>
    <s v="United Kingdom"/>
    <s v=""/>
    <s v=""/>
    <m/>
    <s v="A"/>
  </r>
  <r>
    <n v="1077"/>
    <s v="Ken"/>
    <s v="Pillay"/>
    <s v="ken.pillay@example.com"/>
    <s v="Male"/>
    <x v="0"/>
    <s v="Manager"/>
    <d v="2018-01-26T00:00:00"/>
    <x v="4"/>
    <m/>
    <x v="1"/>
    <n v="38983.69"/>
    <x v="1"/>
    <s v="South Africa"/>
    <s v="Western Cape"/>
    <s v="Cape Town"/>
    <n v="1008"/>
    <s v="B"/>
  </r>
  <r>
    <n v="1078"/>
    <s v="Isaac"/>
    <s v="Mthembu"/>
    <s v="isaac.mthembu@example.com"/>
    <s v="Other"/>
    <x v="5"/>
    <s v="Senior Analyst"/>
    <d v="2017-08-11T00:00:00"/>
    <x v="0"/>
    <m/>
    <x v="1"/>
    <n v="43820.32"/>
    <x v="2"/>
    <s v="south-africa"/>
    <s v="Western Cape"/>
    <s v=""/>
    <n v="1047"/>
    <s v="D"/>
  </r>
  <r>
    <n v="1079"/>
    <s v="Yara"/>
    <s v="Khan"/>
    <s v="yara.khan@example"/>
    <s v="Other"/>
    <x v="0"/>
    <s v="Clerk"/>
    <d v="2022-02-04T00:00:00"/>
    <x v="6"/>
    <m/>
    <x v="0"/>
    <n v="32685.73"/>
    <x v="2"/>
    <s v="South Africa"/>
    <s v="Limpopo"/>
    <s v="Polokwane"/>
    <n v="1028"/>
    <s v="D"/>
  </r>
  <r>
    <n v="1080"/>
    <s v="David"/>
    <s v="Zuma"/>
    <s v="david.zuma@company.co.za"/>
    <s v="Female"/>
    <x v="0"/>
    <s v="HR Officer"/>
    <d v="2015-09-12T00:00:00"/>
    <x v="2"/>
    <d v="2018-02-03T00:00:00"/>
    <x v="1"/>
    <n v="13663.85"/>
    <x v="2"/>
    <s v="United Kingdom"/>
    <s v="Gauteng"/>
    <s v=""/>
    <m/>
    <s v="B"/>
  </r>
  <r>
    <n v="1081"/>
    <s v="Una"/>
    <s v="Dlamini"/>
    <s v="una.dlamini@mail.com"/>
    <s v="Female"/>
    <x v="4"/>
    <s v="Engineer"/>
    <d v="2016-06-12T00:00:00"/>
    <x v="1"/>
    <m/>
    <x v="1"/>
    <n v="42856.47"/>
    <x v="2"/>
    <s v="United Kingdom"/>
    <s v=""/>
    <s v=""/>
    <n v="1062"/>
    <s v="C"/>
  </r>
  <r>
    <n v="1082"/>
    <s v="Yara"/>
    <s v="Moyo"/>
    <s v="yara.moyo@example.com"/>
    <s v="Female"/>
    <x v="5"/>
    <s v="Data Scientist"/>
    <d v="2019-05-17T00:00:00"/>
    <x v="3"/>
    <m/>
    <x v="0"/>
    <n v="45732.23"/>
    <x v="2"/>
    <s v="United States"/>
    <s v="Western Cape"/>
    <s v="Cape Town"/>
    <n v="1021"/>
    <s v="A"/>
  </r>
  <r>
    <n v="1083"/>
    <s v="Tari"/>
    <s v="Nguyen"/>
    <s v="tari.nguyen@example.com"/>
    <s v="Female"/>
    <x v="5"/>
    <s v="Analyst"/>
    <d v="2022-01-17T00:00:00"/>
    <x v="6"/>
    <m/>
    <x v="1"/>
    <n v="39986.03"/>
    <x v="2"/>
    <s v="United Kingdom"/>
    <s v="Western Cape"/>
    <s v=""/>
    <n v="1058"/>
    <s v="D"/>
  </r>
  <r>
    <n v="1084"/>
    <s v="Bea"/>
    <s v="Naidoo"/>
    <s v="bea.naidoo@mail.com"/>
    <s v="Female"/>
    <x v="4"/>
    <s v="Data Scientist"/>
    <d v="2018-10-02T00:00:00"/>
    <x v="4"/>
    <d v="2021-05-23T00:00:00"/>
    <x v="1"/>
    <n v="23917.46"/>
    <x v="0"/>
    <s v="South Africa"/>
    <s v="Limpopo"/>
    <s v="Polokwane"/>
    <m/>
    <s v="C"/>
  </r>
  <r>
    <n v="1085"/>
    <s v="Nia"/>
    <s v="Pillay"/>
    <s v="nia.pillay@example"/>
    <s v="Female"/>
    <x v="0"/>
    <s v="Analyst"/>
    <d v="2018-04-17T00:00:00"/>
    <x v="4"/>
    <m/>
    <x v="1"/>
    <n v="32647.67"/>
    <x v="2"/>
    <s v="United States"/>
    <s v="KZN"/>
    <s v="Cape Town"/>
    <n v="1006"/>
    <s v="C"/>
  </r>
  <r>
    <n v="1086"/>
    <s v="Sam"/>
    <s v="Naidoo"/>
    <s v="sam.naidoo@mail.com"/>
    <s v="Male"/>
    <x v="0"/>
    <s v="Senior Analyst"/>
    <d v="2021-10-28T00:00:00"/>
    <x v="7"/>
    <d v="2022-09-03T00:00:00"/>
    <x v="1"/>
    <n v="27910.76"/>
    <x v="2"/>
    <s v="South Africa"/>
    <s v="Gauteng"/>
    <s v=""/>
    <n v="1053"/>
    <s v=""/>
  </r>
  <r>
    <n v="1087"/>
    <s v="Zed"/>
    <s v="Ndlovu"/>
    <s v="zed.ndlovuexample.com"/>
    <s v="Other"/>
    <x v="1"/>
    <s v="Accountant"/>
    <d v="2016-06-29T00:00:00"/>
    <x v="1"/>
    <d v="2021-03-28T00:00:00"/>
    <x v="1"/>
    <n v="31403.47"/>
    <x v="2"/>
    <s v="United Kingdom"/>
    <s v="Limpopo"/>
    <s v="Polokwane"/>
    <m/>
    <s v="B"/>
  </r>
  <r>
    <n v="1088"/>
    <s v="Abel"/>
    <s v="Nguyen"/>
    <s v="abel.nguyen@company.co.za"/>
    <s v="Female"/>
    <x v="1"/>
    <s v="Accountant"/>
    <d v="2020-01-03T00:00:00"/>
    <x v="5"/>
    <m/>
    <x v="0"/>
    <n v="50562.62"/>
    <x v="2"/>
    <s v="south-africa"/>
    <s v="KZN"/>
    <s v="Durban"/>
    <m/>
    <s v="C"/>
  </r>
  <r>
    <n v="1089"/>
    <s v="Alice"/>
    <s v="Nguyen"/>
    <s v="alice.nguyen@example.com"/>
    <s v="Female"/>
    <x v="0"/>
    <s v="Manager"/>
    <d v="2015-07-05T00:00:00"/>
    <x v="2"/>
    <m/>
    <x v="1"/>
    <n v="53354.96"/>
    <x v="0"/>
    <s v="South Africa"/>
    <s v="Western Cape"/>
    <s v="Cape Town"/>
    <n v="1060"/>
    <s v="A"/>
  </r>
  <r>
    <n v="1090"/>
    <s v="Una"/>
    <s v="Smith"/>
    <s v="una.smith@example.com"/>
    <s v="Male"/>
    <x v="5"/>
    <s v="HR Officer"/>
    <d v="2017-09-11T00:00:00"/>
    <x v="0"/>
    <m/>
    <x v="1"/>
    <n v="43033.02"/>
    <x v="0"/>
    <s v="South Africa"/>
    <s v="KZN"/>
    <s v="Durban"/>
    <n v="1055"/>
    <s v="C"/>
  </r>
  <r>
    <n v="1091"/>
    <s v="David"/>
    <s v="Khan"/>
    <s v="david.khan@example"/>
    <s v="Female"/>
    <x v="3"/>
    <s v="Analyst"/>
    <d v="2017-12-07T00:00:00"/>
    <x v="0"/>
    <m/>
    <x v="1"/>
    <n v="41584.94"/>
    <x v="2"/>
    <s v="South Africa"/>
    <s v="Gauteng"/>
    <s v="Pretoria"/>
    <n v="1087"/>
    <s v="A"/>
  </r>
  <r>
    <n v="1092"/>
    <s v="Tari"/>
    <s v="Dlamini"/>
    <s v="tari.dlamini@example"/>
    <s v="Male"/>
    <x v="0"/>
    <s v="Data Scientist"/>
    <d v="2016-04-08T00:00:00"/>
    <x v="1"/>
    <d v="2019-09-07T00:00:00"/>
    <x v="1"/>
    <n v="43119.55"/>
    <x v="0"/>
    <s v="United States"/>
    <s v="Western Cape"/>
    <s v="Polokwane"/>
    <n v="1017"/>
    <s v=""/>
  </r>
  <r>
    <n v="1093"/>
    <s v="Jane"/>
    <s v="Pillay"/>
    <s v="jane.pillay@example"/>
    <s v="Male"/>
    <x v="3"/>
    <s v="Engineer"/>
    <d v="2022-04-17T00:00:00"/>
    <x v="6"/>
    <m/>
    <x v="1"/>
    <n v="34853.089999999997"/>
    <x v="2"/>
    <s v="United Kingdom"/>
    <s v="Western Cape"/>
    <s v="Cape Town"/>
    <n v="1050"/>
    <s v="A"/>
  </r>
  <r>
    <n v="1094"/>
    <s v="Liam"/>
    <s v="Naidoo"/>
    <s v="liam.naidoo@example"/>
    <s v="Female"/>
    <x v="4"/>
    <s v="Data Scientist"/>
    <d v="2015-08-22T00:00:00"/>
    <x v="2"/>
    <d v="2020-08-09T00:00:00"/>
    <x v="1"/>
    <n v="34092.04"/>
    <x v="1"/>
    <s v="south-africa"/>
    <s v="Western Cape"/>
    <s v="Cape Town"/>
    <m/>
    <s v="D"/>
  </r>
  <r>
    <n v="1095"/>
    <s v="Ken"/>
    <s v="Govender"/>
    <s v="ken.govender@company.co.za"/>
    <s v="Male"/>
    <x v="2"/>
    <s v="Senior Analyst"/>
    <d v="2020-04-30T00:00:00"/>
    <x v="5"/>
    <m/>
    <x v="0"/>
    <n v="26916.26"/>
    <x v="0"/>
    <s v="south-africa"/>
    <s v="Limpopo"/>
    <s v="Polokwane"/>
    <m/>
    <s v="C"/>
  </r>
  <r>
    <n v="1096"/>
    <s v="Bea"/>
    <s v="Mthembu"/>
    <s v="bea.mthembu@example"/>
    <s v="Male"/>
    <x v="5"/>
    <s v="Data Scientist"/>
    <d v="2018-12-16T00:00:00"/>
    <x v="4"/>
    <m/>
    <x v="1"/>
    <n v="34329.589999999997"/>
    <x v="1"/>
    <s v="United States"/>
    <s v="KZN"/>
    <s v="Cape Town"/>
    <n v="1019"/>
    <s v=""/>
  </r>
  <r>
    <n v="1097"/>
    <s v="Henry"/>
    <s v="Dlamini"/>
    <s v="henry.dlamini@company.co.za"/>
    <s v="Male"/>
    <x v="5"/>
    <s v="Analyst"/>
    <d v="2015-04-15T00:00:00"/>
    <x v="2"/>
    <m/>
    <x v="1"/>
    <n v="62119.360000000001"/>
    <x v="0"/>
    <s v="United Kingdom"/>
    <s v=""/>
    <s v=""/>
    <n v="1088"/>
    <s v="C"/>
  </r>
  <r>
    <n v="1098"/>
    <s v="Bob"/>
    <s v="Mthembu"/>
    <s v="bob.mthembu@example.com"/>
    <s v="Other"/>
    <x v="0"/>
    <s v="HR Officer"/>
    <d v="2019-03-14T00:00:00"/>
    <x v="3"/>
    <m/>
    <x v="0"/>
    <n v="45428.47"/>
    <x v="1"/>
    <s v="United Kingdom"/>
    <s v="Gauteng"/>
    <s v="Pretoria"/>
    <n v="1012"/>
    <s v="C"/>
  </r>
  <r>
    <n v="1099"/>
    <s v="Chipo"/>
    <s v="Nguyen"/>
    <s v="chipo.nguyen@company.co.za"/>
    <s v="Male"/>
    <x v="2"/>
    <s v="HR Officer"/>
    <d v="2022-01-28T00:00:00"/>
    <x v="6"/>
    <m/>
    <x v="0"/>
    <n v="30894.6"/>
    <x v="2"/>
    <s v="United Kingdom"/>
    <s v=""/>
    <s v=""/>
    <n v="1006"/>
    <s v="A"/>
  </r>
  <r>
    <n v="1100"/>
    <s v="Jane"/>
    <s v="Van Wyk"/>
    <s v="jane.van wyk@example.com"/>
    <s v="Female"/>
    <x v="3"/>
    <s v="Analyst"/>
    <d v="2017-03-16T00:00:00"/>
    <x v="0"/>
    <m/>
    <x v="0"/>
    <n v="29336.880000000001"/>
    <x v="2"/>
    <s v="United States"/>
    <s v="Gauteng"/>
    <s v="Johannesburg"/>
    <n v="1010"/>
    <s v="D"/>
  </r>
  <r>
    <n v="1101"/>
    <s v="Abel"/>
    <s v="Zuma"/>
    <s v="abel.zuma@company.co.za"/>
    <s v="Female"/>
    <x v="4"/>
    <s v="Clerk"/>
    <d v="2018-02-02T00:00:00"/>
    <x v="4"/>
    <d v="2021-06-08T00:00:00"/>
    <x v="1"/>
    <n v="24626.12"/>
    <x v="2"/>
    <s v="United Kingdom"/>
    <s v=""/>
    <s v=""/>
    <m/>
    <s v="B"/>
  </r>
  <r>
    <n v="1102"/>
    <s v="Henry"/>
    <s v="Nkosi"/>
    <s v="henry.nkosicompany.co.za"/>
    <s v="Female"/>
    <x v="2"/>
    <s v="Data Scientist"/>
    <d v="2019-09-10T00:00:00"/>
    <x v="3"/>
    <m/>
    <x v="0"/>
    <n v="39492.44"/>
    <x v="2"/>
    <s v="United Kingdom"/>
    <s v="KZN"/>
    <s v="Polokwane"/>
    <m/>
    <s v="A"/>
  </r>
  <r>
    <n v="1103"/>
    <s v="Faith"/>
    <s v="Naidoo"/>
    <s v="faith.naidoo@example.com"/>
    <s v="Male"/>
    <x v="4"/>
    <s v="HR Officer"/>
    <d v="2021-04-19T00:00:00"/>
    <x v="7"/>
    <m/>
    <x v="1"/>
    <n v="39698.550000000003"/>
    <x v="1"/>
    <s v="United States"/>
    <s v="Western Cape"/>
    <s v="Polokwane"/>
    <n v="1037"/>
    <s v="A"/>
  </r>
  <r>
    <n v="1104"/>
    <s v="Isaac"/>
    <s v="Govender"/>
    <s v="isaac.govender@mail.com"/>
    <s v="Male"/>
    <x v="0"/>
    <s v="Engineer"/>
    <d v="2018-01-09T00:00:00"/>
    <x v="4"/>
    <m/>
    <x v="1"/>
    <n v="17682.54"/>
    <x v="1"/>
    <s v="South Africa"/>
    <s v="Limpopo"/>
    <s v="Polokwane"/>
    <n v="1075"/>
    <s v=""/>
  </r>
  <r>
    <n v="1105"/>
    <s v="Grace"/>
    <s v="Nkosi"/>
    <s v="grace.nkosi@example"/>
    <s v="Male"/>
    <x v="5"/>
    <s v="Sales Rep"/>
    <d v="2017-10-05T00:00:00"/>
    <x v="0"/>
    <d v="2022-01-19T00:00:00"/>
    <x v="1"/>
    <n v="40836.019999999997"/>
    <x v="1"/>
    <s v="South Africa"/>
    <s v=""/>
    <s v=""/>
    <m/>
    <s v="B"/>
  </r>
  <r>
    <n v="1106"/>
    <s v="Yara"/>
    <s v="Nguyen"/>
    <s v="yara.nguyenexample.com"/>
    <s v="Other"/>
    <x v="5"/>
    <s v="Sales Rep"/>
    <d v="2018-05-01T00:00:00"/>
    <x v="4"/>
    <d v="2020-01-11T00:00:00"/>
    <x v="1"/>
    <n v="28166.33"/>
    <x v="1"/>
    <s v="South Africa"/>
    <s v="KZN"/>
    <s v="Cape Town"/>
    <n v="1087"/>
    <s v="D"/>
  </r>
  <r>
    <n v="1107"/>
    <s v="Alice"/>
    <s v="Govender"/>
    <s v="alice.govender@company.co.za"/>
    <s v="Female"/>
    <x v="0"/>
    <s v="Manager"/>
    <d v="2018-08-04T00:00:00"/>
    <x v="4"/>
    <m/>
    <x v="0"/>
    <n v="416965.2"/>
    <x v="2"/>
    <s v="United Kingdom"/>
    <s v="Western Cape"/>
    <s v=""/>
    <n v="1049"/>
    <s v="C"/>
  </r>
  <r>
    <n v="1108"/>
    <s v="Una"/>
    <s v="Govender"/>
    <s v="una.govender@company.co.za"/>
    <s v="Other"/>
    <x v="3"/>
    <s v="Clerk"/>
    <d v="2015-04-01T00:00:00"/>
    <x v="2"/>
    <m/>
    <x v="1"/>
    <n v="36882.129999999997"/>
    <x v="0"/>
    <s v="South Africa"/>
    <s v="Western Cape"/>
    <s v=""/>
    <n v="1102"/>
    <s v="A"/>
  </r>
  <r>
    <n v="1109"/>
    <s v="Nia"/>
    <s v="Van Wyk"/>
    <s v="nia.van wyk@example.com"/>
    <s v="Female"/>
    <x v="5"/>
    <s v="Accountant"/>
    <d v="2018-10-25T00:00:00"/>
    <x v="4"/>
    <m/>
    <x v="1"/>
    <n v="55612.76"/>
    <x v="0"/>
    <s v="United States"/>
    <s v="Western Cape"/>
    <s v="Polokwane"/>
    <n v="1006"/>
    <s v="C"/>
  </r>
  <r>
    <n v="1110"/>
    <s v="Faith"/>
    <s v="Khan"/>
    <s v="faith.khan@mail.com"/>
    <s v="Other"/>
    <x v="0"/>
    <s v="Clerk"/>
    <d v="2018-11-23T00:00:00"/>
    <x v="4"/>
    <m/>
    <x v="0"/>
    <n v="29502.48"/>
    <x v="0"/>
    <s v="South Africa"/>
    <s v="Gauteng"/>
    <s v="Pretoria"/>
    <n v="1018"/>
    <s v="C"/>
  </r>
  <r>
    <n v="1111"/>
    <s v="Esi"/>
    <s v="Van Wyk"/>
    <s v="esi.van wyk@example.com"/>
    <s v="Male"/>
    <x v="1"/>
    <s v="Manager"/>
    <d v="2022-08-05T00:00:00"/>
    <x v="6"/>
    <m/>
    <x v="1"/>
    <n v="31544.19"/>
    <x v="1"/>
    <s v="United States"/>
    <s v="Western Cape"/>
    <s v="Johannesburg"/>
    <n v="1036"/>
    <s v="C"/>
  </r>
  <r>
    <n v="1112"/>
    <s v="Oscar"/>
    <s v="Dlamini"/>
    <s v="oscar.dlamini@example"/>
    <s v="Female"/>
    <x v="4"/>
    <s v="Manager"/>
    <d v="2021-02-04T00:00:00"/>
    <x v="7"/>
    <d v="2025-07-16T00:00:00"/>
    <x v="1"/>
    <n v="38597.699999999997"/>
    <x v="1"/>
    <s v="south-africa"/>
    <s v="Limpopo"/>
    <s v="Polokwane"/>
    <m/>
    <s v="C"/>
  </r>
  <r>
    <n v="1113"/>
    <s v="Alice"/>
    <s v="Ndlovu"/>
    <s v="alice.ndlovumail.com"/>
    <s v="Other"/>
    <x v="1"/>
    <s v="Analyst"/>
    <d v="2015-04-14T00:00:00"/>
    <x v="2"/>
    <m/>
    <x v="0"/>
    <n v="47671.38"/>
    <x v="0"/>
    <s v="South Africa"/>
    <s v="Gauteng"/>
    <s v=""/>
    <n v="1040"/>
    <s v="D"/>
  </r>
  <r>
    <n v="1114"/>
    <s v="Faith"/>
    <s v="Govender"/>
    <s v="faith.govender@company.co.za"/>
    <s v="Male"/>
    <x v="5"/>
    <s v="Data Scientist"/>
    <d v="2017-07-09T00:00:00"/>
    <x v="0"/>
    <d v="2022-04-08T00:00:00"/>
    <x v="1"/>
    <n v="41790.589999999997"/>
    <x v="2"/>
    <s v="United States"/>
    <s v="Limpopo"/>
    <s v="Polokwane"/>
    <n v="1039"/>
    <s v="B"/>
  </r>
  <r>
    <n v="1115"/>
    <s v="Will"/>
    <s v="Nkosi"/>
    <s v="will.nkosi@example"/>
    <s v="Male"/>
    <x v="0"/>
    <s v="Accountant"/>
    <d v="2020-05-17T00:00:00"/>
    <x v="5"/>
    <d v="2025-03-04T00:00:00"/>
    <x v="1"/>
    <n v="20197.71"/>
    <x v="2"/>
    <s v="South Africa"/>
    <s v=""/>
    <s v=""/>
    <n v="1044"/>
    <s v="B"/>
  </r>
  <r>
    <n v="1116"/>
    <s v="Chad"/>
    <s v="Van Wyk"/>
    <s v="chad.van wyk@example.com"/>
    <s v="Other"/>
    <x v="3"/>
    <s v="Clerk"/>
    <d v="2021-05-13T00:00:00"/>
    <x v="7"/>
    <m/>
    <x v="1"/>
    <n v="37194.81"/>
    <x v="2"/>
    <s v="United Kingdom"/>
    <s v="Gauteng"/>
    <s v="Pretoria"/>
    <n v="1104"/>
    <s v=""/>
  </r>
  <r>
    <n v="1117"/>
    <s v="Vin"/>
    <s v="Pillay"/>
    <s v="vin.pillay@mail.com"/>
    <s v="Male"/>
    <x v="5"/>
    <s v="Sales Rep"/>
    <d v="2022-08-02T00:00:00"/>
    <x v="6"/>
    <d v="2025-12-28T00:00:00"/>
    <x v="1"/>
    <n v="35266.94"/>
    <x v="0"/>
    <s v="United Kingdom"/>
    <s v="KZN"/>
    <s v="Pretoria"/>
    <n v="1057"/>
    <s v="B"/>
  </r>
  <r>
    <n v="1118"/>
    <s v="Faith"/>
    <s v="Nkosi"/>
    <s v="faith.nkosi@example.com"/>
    <s v="Male"/>
    <x v="3"/>
    <s v="Data Scientist"/>
    <d v="2022-12-14T00:00:00"/>
    <x v="6"/>
    <d v="2026-03-30T00:00:00"/>
    <x v="1"/>
    <n v="29851.18"/>
    <x v="1"/>
    <s v="south-africa"/>
    <s v="Limpopo"/>
    <s v="Cape Town"/>
    <m/>
    <s v=""/>
  </r>
  <r>
    <n v="1119"/>
    <s v="David"/>
    <s v="Zuma"/>
    <s v="david.zuma@example"/>
    <s v="Male"/>
    <x v="0"/>
    <s v="Clerk"/>
    <d v="2021-09-12T00:00:00"/>
    <x v="7"/>
    <d v="2021-09-10T00:00:00"/>
    <x v="1"/>
    <n v="27222.74"/>
    <x v="0"/>
    <s v="South Africa"/>
    <s v="Limpopo"/>
    <s v="Johannesburg"/>
    <n v="1112"/>
    <s v="C"/>
  </r>
  <r>
    <n v="1120"/>
    <s v="Faith"/>
    <s v="Ndlovu"/>
    <s v="faith.ndlovu@example.com"/>
    <s v="Female"/>
    <x v="2"/>
    <s v="Sales Rep"/>
    <d v="2019-01-02T00:00:00"/>
    <x v="3"/>
    <m/>
    <x v="0"/>
    <n v="55970.93"/>
    <x v="2"/>
    <s v="South Africa"/>
    <s v="KZN"/>
    <s v="Durban"/>
    <m/>
    <s v="D"/>
  </r>
  <r>
    <n v="1121"/>
    <s v="David"/>
    <s v="Brown"/>
    <s v="david.brown@example.com"/>
    <s v="Male"/>
    <x v="0"/>
    <s v="Manager"/>
    <d v="2021-03-20T00:00:00"/>
    <x v="7"/>
    <m/>
    <x v="0"/>
    <n v="30315.360000000001"/>
    <x v="1"/>
    <s v="United States"/>
    <s v="Gauteng"/>
    <s v="Johannesburg"/>
    <n v="1020"/>
    <s v="A"/>
  </r>
  <r>
    <n v="1122"/>
    <s v="Zed"/>
    <s v="Nguyen"/>
    <s v="zed.nguyen@example"/>
    <s v="Other"/>
    <x v="0"/>
    <s v="Accountant"/>
    <d v="2019-05-31T00:00:00"/>
    <x v="3"/>
    <m/>
    <x v="1"/>
    <n v="24848.93"/>
    <x v="0"/>
    <s v="South Africa"/>
    <s v="Western Cape"/>
    <s v="Cape Town"/>
    <m/>
    <s v=""/>
  </r>
  <r>
    <n v="1123"/>
    <s v="Oscar"/>
    <s v="Smith"/>
    <s v="oscar.smith@company.co.za"/>
    <s v="Female"/>
    <x v="5"/>
    <s v="Engineer"/>
    <d v="2015-03-26T00:00:00"/>
    <x v="2"/>
    <m/>
    <x v="0"/>
    <n v="42645.35"/>
    <x v="2"/>
    <s v="United States"/>
    <s v="KZN"/>
    <s v="Durban"/>
    <n v="1068"/>
    <s v="A"/>
  </r>
  <r>
    <n v="1124"/>
    <s v="Rae"/>
    <s v="Brown"/>
    <s v="rae.brown@example.com"/>
    <s v="Male"/>
    <x v="4"/>
    <s v="Engineer"/>
    <d v="2016-08-01T00:00:00"/>
    <x v="1"/>
    <m/>
    <x v="1"/>
    <n v="36567.480000000003"/>
    <x v="0"/>
    <s v="United Kingdom"/>
    <s v="KZN"/>
    <s v="Johannesburg"/>
    <n v="1086"/>
    <s v=""/>
  </r>
  <r>
    <n v="1125"/>
    <s v="Liam"/>
    <s v="Nkosi"/>
    <s v="liam.nkosi@mail.com"/>
    <s v="Male"/>
    <x v="3"/>
    <s v="Accountant"/>
    <d v="2019-07-17T00:00:00"/>
    <x v="3"/>
    <m/>
    <x v="0"/>
    <n v="34090.230000000003"/>
    <x v="1"/>
    <s v="United States"/>
    <s v="KZN"/>
    <s v="Durban"/>
    <n v="1025"/>
    <s v=""/>
  </r>
  <r>
    <n v="1126"/>
    <s v="Faith"/>
    <s v="Pillay"/>
    <s v="faith.pillay@example"/>
    <s v="Female"/>
    <x v="0"/>
    <s v="Accountant"/>
    <d v="2018-07-31T00:00:00"/>
    <x v="4"/>
    <m/>
    <x v="0"/>
    <n v="44375.62"/>
    <x v="2"/>
    <s v="South Africa"/>
    <s v="Gauteng"/>
    <s v="Polokwane"/>
    <n v="1115"/>
    <s v="A"/>
  </r>
  <r>
    <n v="1127"/>
    <s v="Grace"/>
    <s v="Nkosi"/>
    <s v="grace.nkosiexample.com"/>
    <s v="Female"/>
    <x v="3"/>
    <s v="Clerk"/>
    <d v="2016-07-13T00:00:00"/>
    <x v="1"/>
    <m/>
    <x v="0"/>
    <n v="40863.5"/>
    <x v="1"/>
    <s v="South Africa"/>
    <s v="Limpopo"/>
    <s v="Polokwane"/>
    <n v="1087"/>
    <s v="A"/>
  </r>
  <r>
    <n v="1128"/>
    <s v="Bea"/>
    <s v="Smith"/>
    <s v="bea.smith@example"/>
    <s v="Male"/>
    <x v="5"/>
    <s v="Data Scientist"/>
    <d v="2020-03-12T00:00:00"/>
    <x v="5"/>
    <m/>
    <x v="1"/>
    <n v="39346.28"/>
    <x v="1"/>
    <s v="South Africa"/>
    <s v="Gauteng"/>
    <s v="Johannesburg"/>
    <n v="1019"/>
    <s v="C"/>
  </r>
  <r>
    <n v="1129"/>
    <s v="Abel"/>
    <s v="Ndlovu"/>
    <s v="abel.ndlovu@company.co.za"/>
    <s v="Other"/>
    <x v="3"/>
    <s v="Data Scientist"/>
    <d v="2022-12-24T00:00:00"/>
    <x v="6"/>
    <m/>
    <x v="1"/>
    <n v="46570.41"/>
    <x v="1"/>
    <s v="South Africa"/>
    <s v="KZN"/>
    <s v="Johannesburg"/>
    <n v="1026"/>
    <s v="B"/>
  </r>
  <r>
    <n v="1130"/>
    <s v="Una"/>
    <s v="Nkosi"/>
    <s v="una.nkosi@mail.com"/>
    <s v="Male"/>
    <x v="2"/>
    <s v="Sales Rep"/>
    <d v="2017-04-19T00:00:00"/>
    <x v="0"/>
    <m/>
    <x v="1"/>
    <n v="38403.64"/>
    <x v="2"/>
    <s v="United States"/>
    <s v="Gauteng"/>
    <s v="Durban"/>
    <n v="1063"/>
    <s v="B"/>
  </r>
  <r>
    <n v="1131"/>
    <s v="Una"/>
    <s v="Ndlovu"/>
    <s v="una.ndlovu@company.co.za"/>
    <s v="Male"/>
    <x v="0"/>
    <s v="Senior Analyst"/>
    <d v="2022-05-27T00:00:00"/>
    <x v="6"/>
    <m/>
    <x v="1"/>
    <n v="27596.94"/>
    <x v="1"/>
    <s v="United Kingdom"/>
    <s v="Limpopo"/>
    <s v=""/>
    <m/>
    <s v="C"/>
  </r>
  <r>
    <n v="1132"/>
    <s v="Will"/>
    <s v="Smith"/>
    <s v="will.smith@mail.com"/>
    <s v="Female"/>
    <x v="5"/>
    <s v="Data Scientist"/>
    <d v="2018-05-07T00:00:00"/>
    <x v="4"/>
    <m/>
    <x v="0"/>
    <n v="30652.61"/>
    <x v="2"/>
    <s v="United Kingdom"/>
    <s v="KZN"/>
    <s v="Johannesburg"/>
    <n v="1125"/>
    <s v="B"/>
  </r>
  <r>
    <n v="1133"/>
    <s v="Ken"/>
    <s v="Govender"/>
    <s v="ken.govender@mail.com"/>
    <s v="Female"/>
    <x v="1"/>
    <s v="Clerk"/>
    <d v="2015-07-09T00:00:00"/>
    <x v="2"/>
    <d v="2020-06-11T00:00:00"/>
    <x v="1"/>
    <n v="28748.33"/>
    <x v="2"/>
    <s v="South Africa"/>
    <s v="Western Cape"/>
    <s v="Durban"/>
    <n v="1091"/>
    <s v="D"/>
  </r>
  <r>
    <n v="1134"/>
    <s v="Vin"/>
    <s v="Smith"/>
    <s v="vin.smith@example"/>
    <s v="Female"/>
    <x v="0"/>
    <s v="Engineer"/>
    <d v="2017-04-04T00:00:00"/>
    <x v="0"/>
    <d v="2020-03-02T00:00:00"/>
    <x v="1"/>
    <n v="37516.660000000003"/>
    <x v="2"/>
    <s v="United Kingdom"/>
    <s v="Gauteng"/>
    <s v="Johannesburg"/>
    <n v="1125"/>
    <s v="D"/>
  </r>
  <r>
    <n v="1135"/>
    <s v="Alice"/>
    <s v="Naidoo"/>
    <s v="alice.naidoo@company.co.za"/>
    <s v="Other"/>
    <x v="0"/>
    <s v="Clerk"/>
    <d v="2017-05-31T00:00:00"/>
    <x v="0"/>
    <d v="2017-11-25T00:00:00"/>
    <x v="1"/>
    <n v="22064.18"/>
    <x v="2"/>
    <s v="South Africa"/>
    <s v="Gauteng"/>
    <s v="Johannesburg"/>
    <n v="1093"/>
    <s v="A"/>
  </r>
  <r>
    <n v="1136"/>
    <s v="Una"/>
    <s v="Zuma"/>
    <s v="una.zuma@company.co.za"/>
    <s v="Female"/>
    <x v="5"/>
    <s v="Sales Rep"/>
    <d v="2019-09-13T00:00:00"/>
    <x v="3"/>
    <m/>
    <x v="1"/>
    <n v="13010.89"/>
    <x v="2"/>
    <s v="United States"/>
    <s v="KZN"/>
    <s v=""/>
    <n v="1097"/>
    <s v="A"/>
  </r>
  <r>
    <n v="1137"/>
    <s v="Chipo"/>
    <s v="Nguyen"/>
    <s v="chipo.nguyen@company.co.za"/>
    <s v="Male"/>
    <x v="2"/>
    <s v="Sales Rep"/>
    <d v="2022-06-29T00:00:00"/>
    <x v="6"/>
    <d v="2026-10-04T00:00:00"/>
    <x v="1"/>
    <n v="36057.86"/>
    <x v="1"/>
    <s v="South Africa"/>
    <s v=""/>
    <s v=""/>
    <n v="1097"/>
    <s v="D"/>
  </r>
  <r>
    <n v="1138"/>
    <s v="Que"/>
    <s v="Pillay"/>
    <s v="que.pillay@company.co.za"/>
    <s v="Male"/>
    <x v="2"/>
    <s v="Clerk"/>
    <d v="2020-11-08T00:00:00"/>
    <x v="5"/>
    <m/>
    <x v="0"/>
    <n v="18961.75"/>
    <x v="0"/>
    <s v="South Africa"/>
    <s v="KZN"/>
    <s v="Cape Town"/>
    <n v="1040"/>
    <s v="B"/>
  </r>
  <r>
    <n v="1139"/>
    <s v="Una"/>
    <s v="Nguyen"/>
    <s v="una.nguyen@company.co.za"/>
    <s v="Female"/>
    <x v="5"/>
    <s v="Senior Analyst"/>
    <d v="2019-08-07T00:00:00"/>
    <x v="3"/>
    <d v="2021-09-05T00:00:00"/>
    <x v="1"/>
    <n v="11576.26"/>
    <x v="1"/>
    <s v="United Kingdom"/>
    <s v="KZN"/>
    <s v="Polokwane"/>
    <n v="1116"/>
    <s v=""/>
  </r>
  <r>
    <n v="1140"/>
    <s v="Esi"/>
    <s v="Moyo"/>
    <s v="esi.moyo@mail.com"/>
    <s v="Male"/>
    <x v="2"/>
    <s v="Clerk"/>
    <d v="2019-04-11T00:00:00"/>
    <x v="3"/>
    <d v="2020-10-23T00:00:00"/>
    <x v="1"/>
    <n v="39479.97"/>
    <x v="1"/>
    <s v="United Kingdom"/>
    <s v="Western Cape"/>
    <s v="Durban"/>
    <m/>
    <s v="A"/>
  </r>
  <r>
    <n v="1141"/>
    <s v="Grace"/>
    <s v="Naidoo"/>
    <s v="grace.naidoo@example.com"/>
    <s v="Male"/>
    <x v="5"/>
    <s v="Clerk"/>
    <d v="2015-06-21T00:00:00"/>
    <x v="2"/>
    <m/>
    <x v="1"/>
    <n v="26467.360000000001"/>
    <x v="0"/>
    <s v="South Africa"/>
    <s v="Gauteng"/>
    <s v="Pretoria"/>
    <n v="1053"/>
    <s v="A"/>
  </r>
  <r>
    <n v="1142"/>
    <s v="Yara"/>
    <s v="Zuma"/>
    <s v="yara.zuma@example"/>
    <s v="Female"/>
    <x v="3"/>
    <s v="Analyst"/>
    <d v="2016-03-17T00:00:00"/>
    <x v="1"/>
    <m/>
    <x v="1"/>
    <n v="40953.51"/>
    <x v="1"/>
    <s v="United Kingdom"/>
    <s v="Limpopo"/>
    <s v="Cape Town"/>
    <n v="1003"/>
    <s v="D"/>
  </r>
  <r>
    <n v="1143"/>
    <s v="Rae"/>
    <s v="Moyo"/>
    <s v="rae.moyo@example"/>
    <s v="Female"/>
    <x v="4"/>
    <s v="Senior Analyst"/>
    <d v="2021-05-27T00:00:00"/>
    <x v="7"/>
    <d v="2025-09-15T00:00:00"/>
    <x v="1"/>
    <n v="28629.75"/>
    <x v="1"/>
    <s v="United States"/>
    <s v="Gauteng"/>
    <s v="Pretoria"/>
    <n v="1107"/>
    <s v="D"/>
  </r>
  <r>
    <n v="1144"/>
    <s v="Abel"/>
    <s v="Moyo"/>
    <s v="abel.moyo@mail.com"/>
    <s v="Female"/>
    <x v="0"/>
    <s v="Manager"/>
    <d v="2021-01-16T00:00:00"/>
    <x v="7"/>
    <m/>
    <x v="1"/>
    <n v="21536.45"/>
    <x v="1"/>
    <s v="South Africa"/>
    <s v="KZN"/>
    <s v="Durban"/>
    <n v="1098"/>
    <s v="C"/>
  </r>
  <r>
    <n v="1145"/>
    <s v="Jane"/>
    <s v="Nkosi"/>
    <s v="jane.nkosi@company.co.za"/>
    <s v="Female"/>
    <x v="3"/>
    <s v="Accountant"/>
    <d v="2022-12-17T00:00:00"/>
    <x v="6"/>
    <m/>
    <x v="0"/>
    <n v="20077.79"/>
    <x v="0"/>
    <s v="United Kingdom"/>
    <s v="Gauteng"/>
    <s v="Pretoria"/>
    <m/>
    <s v="D"/>
  </r>
  <r>
    <n v="1146"/>
    <s v="Jane"/>
    <s v="Nkosi"/>
    <s v="jane.nkosi@example"/>
    <s v="Other"/>
    <x v="4"/>
    <s v="Analyst"/>
    <d v="2017-01-07T00:00:00"/>
    <x v="0"/>
    <d v="2021-12-08T00:00:00"/>
    <x v="1"/>
    <n v="28820.87"/>
    <x v="0"/>
    <s v="United States"/>
    <s v=""/>
    <s v=""/>
    <n v="1057"/>
    <s v="B"/>
  </r>
  <r>
    <n v="1147"/>
    <s v="Rae"/>
    <s v="Nguyen"/>
    <s v="rae.nguyen@example.com"/>
    <s v="Female"/>
    <x v="4"/>
    <s v="Senior Analyst"/>
    <d v="2015-07-26T00:00:00"/>
    <x v="2"/>
    <m/>
    <x v="1"/>
    <n v="31719.41"/>
    <x v="0"/>
    <s v="South Africa"/>
    <s v="Gauteng"/>
    <s v="Cape Town"/>
    <m/>
    <s v=""/>
  </r>
  <r>
    <n v="1148"/>
    <s v="Zed"/>
    <s v="Ndlovu"/>
    <s v="zed.ndlovu@company.co.za"/>
    <s v="Male"/>
    <x v="4"/>
    <s v="Manager"/>
    <d v="2022-06-18T00:00:00"/>
    <x v="6"/>
    <d v="2024-09-03T00:00:00"/>
    <x v="1"/>
    <n v="25118.48"/>
    <x v="2"/>
    <s v="United States"/>
    <s v="Western Cape"/>
    <s v=""/>
    <n v="1086"/>
    <s v="A"/>
  </r>
  <r>
    <n v="1149"/>
    <s v="Abel"/>
    <s v="Ndlovu"/>
    <s v="abel.ndlovu@company.co.za"/>
    <s v="Female"/>
    <x v="0"/>
    <s v="Accountant"/>
    <d v="2016-01-16T00:00:00"/>
    <x v="1"/>
    <m/>
    <x v="0"/>
    <n v="31626.71"/>
    <x v="2"/>
    <s v="United Kingdom"/>
    <s v="Gauteng"/>
    <s v="Pretoria"/>
    <n v="1001"/>
    <s v="C"/>
  </r>
  <r>
    <n v="1150"/>
    <s v="Bob"/>
    <s v="Naidoo"/>
    <s v="bob.naidoo@example"/>
    <s v="Female"/>
    <x v="1"/>
    <s v="Clerk"/>
    <d v="2017-02-01T00:00:00"/>
    <x v="0"/>
    <m/>
    <x v="0"/>
    <n v="16566.77"/>
    <x v="2"/>
    <s v="South Africa"/>
    <s v="Limpopo"/>
    <s v="Polokwane"/>
    <m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98FB0-EA97-42AB-A2AC-E6FB1D45886D}" name="PivotTable1" cacheId="0" applyNumberFormats="0" applyBorderFormats="0" applyFontFormats="0" applyPatternFormats="0" applyAlignmentFormats="0" applyWidthHeightFormats="1" dataCaption="Values" grandTotalCaption="Total" updatedVersion="8" minRefreshableVersion="3" useAutoFormatting="1" colGrandTotals="0" itemPrintTitles="1" createdVersion="8" indent="0" compact="0" compactData="0" multipleFieldFilters="0" chartFormat="1">
  <location ref="A3:D11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4"/>
        <item x="0"/>
        <item x="3"/>
        <item x="1"/>
        <item x="2"/>
        <item t="default"/>
      </items>
    </pivotField>
    <pivotField compact="0" outline="0" showAll="0"/>
    <pivotField compact="0" numFmtId="14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3">
    <i>
      <x/>
    </i>
    <i>
      <x v="1"/>
    </i>
    <i>
      <x v="2"/>
    </i>
  </colItems>
  <dataFields count="1">
    <dataField name="Average of salary" fld="11" subtotal="average" baseField="0" baseItem="0"/>
  </dataFields>
  <formats count="2">
    <format dxfId="7">
      <pivotArea outline="0" fieldPosition="0">
        <references count="1">
          <reference field="5" count="0" selected="0"/>
        </references>
      </pivotArea>
    </format>
    <format dxfId="6">
      <pivotArea grandRow="1"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602D7-07B9-4E34-A434-3DCD15DD3CFE}" name="PivotTable2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 chartFormat="5">
  <location ref="A2:B9" firstHeaderRow="1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5"/>
        <item x="4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 v="2"/>
    </i>
    <i>
      <x v="3"/>
    </i>
    <i>
      <x/>
    </i>
    <i>
      <x v="5"/>
    </i>
    <i>
      <x v="1"/>
    </i>
    <i>
      <x v="4"/>
    </i>
    <i t="grand">
      <x/>
    </i>
  </rowItems>
  <colItems count="1">
    <i/>
  </colItems>
  <dataFields count="1">
    <dataField name="Count of employee_id" fld="0" subtotal="count" baseField="0" baseItem="0"/>
  </dataFields>
  <formats count="1">
    <format dxfId="5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FCCDC-A967-4FBE-BC16-7A3735CED441}" name="PivotTable3" cacheId="0" applyNumberFormats="0" applyBorderFormats="0" applyFontFormats="0" applyPatternFormats="0" applyAlignmentFormats="0" applyWidthHeightFormats="1" dataCaption="Values" grandTotalCaption="Total" updatedVersion="8" minRefreshableVersion="3" useAutoFormatting="1" colGrandTotals="0" itemPrintTitles="1" createdVersion="8" indent="0" compact="0" compactData="0" multipleFieldFilters="0">
  <location ref="A3:C11" firstHeaderRow="1" firstDataRow="2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4"/>
        <item x="0"/>
        <item x="3"/>
        <item x="1"/>
        <item x="2"/>
        <item t="default"/>
      </items>
    </pivotField>
    <pivotField compact="0" outline="0" showAll="0"/>
    <pivotField compact="0" numFmtId="14" outline="0" showAll="0"/>
    <pivotField compact="0" numFmtId="1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2">
    <i>
      <x/>
    </i>
    <i>
      <x v="1"/>
    </i>
  </colItems>
  <dataFields count="1">
    <dataField name="Count of employee_id" fld="0" subtotal="count" baseField="0" baseItem="0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DFC00-F052-4776-A376-81FC3796D66A}" name="PivotTable4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>
  <location ref="A2:B11" firstHeaderRow="1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name="Year" axis="axisRow" compact="0" numFmtId="1" outline="0" showAll="0">
      <items count="9">
        <item x="2"/>
        <item x="1"/>
        <item x="0"/>
        <item x="4"/>
        <item x="3"/>
        <item x="5"/>
        <item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_id" fld="0" subtotal="count" baseField="0" baseItem="0"/>
  </dataFields>
  <formats count="4">
    <format dxfId="4">
      <pivotArea field="8" type="button" dataOnly="0" labelOnly="1" outline="0" axis="axisRow" fieldPosition="0"/>
    </format>
    <format dxfId="3">
      <pivotArea dataOnly="0" labelOnly="1" outline="0" fieldPosition="0">
        <references count="1">
          <reference field="8" count="0"/>
        </references>
      </pivotArea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8FA3B6-57E1-4BBA-ACE0-500EB95B330B}" autoFormatId="16" applyNumberFormats="0" applyBorderFormats="0" applyFontFormats="0" applyPatternFormats="0" applyAlignmentFormats="0" applyWidthHeightFormats="0">
  <queryTableRefresh nextId="19">
    <queryTableFields count="18">
      <queryTableField id="1" name="employee_id" tableColumnId="1"/>
      <queryTableField id="2" name="first_name" tableColumnId="2"/>
      <queryTableField id="3" name="last_name" tableColumnId="3"/>
      <queryTableField id="4" name="email" tableColumnId="4"/>
      <queryTableField id="5" name="gender" tableColumnId="5"/>
      <queryTableField id="6" name="department" tableColumnId="6"/>
      <queryTableField id="7" name="job_title" tableColumnId="7"/>
      <queryTableField id="8" name="hire_date" tableColumnId="8"/>
      <queryTableField id="18" dataBound="0" tableColumnId="18"/>
      <queryTableField id="9" name="exit_date" tableColumnId="9"/>
      <queryTableField id="10" name="is_active" tableColumnId="10"/>
      <queryTableField id="11" name="salary" tableColumnId="11"/>
      <queryTableField id="12" name="currency" tableColumnId="12"/>
      <queryTableField id="13" name="country" tableColumnId="13"/>
      <queryTableField id="14" name="state" tableColumnId="14"/>
      <queryTableField id="15" name="city" tableColumnId="15"/>
      <queryTableField id="16" name="manager_id" tableColumnId="16"/>
      <queryTableField id="17" name="performance_scor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9AEA3-7FF8-4980-8738-4F6FF5CDB83F}" name="Week_3_Employee_Data_CLEANED" displayName="Week_3_Employee_Data_CLEANED" ref="A1:R151" tableType="queryTable" totalsRowShown="0">
  <autoFilter ref="A1:R151" xr:uid="{0ED9AEA3-7FF8-4980-8738-4F6FF5CDB83F}"/>
  <tableColumns count="18">
    <tableColumn id="1" xr3:uid="{4821AC41-7618-4CD4-9E2C-69E8C2185A64}" uniqueName="1" name="employee_id" queryTableFieldId="1"/>
    <tableColumn id="2" xr3:uid="{94A37427-C691-4117-961E-E76DCC09E29B}" uniqueName="2" name="first_name" queryTableFieldId="2" dataDxfId="21"/>
    <tableColumn id="3" xr3:uid="{64DD043A-397B-4297-8D55-BD030FC4ED25}" uniqueName="3" name="last_name" queryTableFieldId="3" dataDxfId="20"/>
    <tableColumn id="4" xr3:uid="{48902251-4355-4B2A-91CB-E092058FC95B}" uniqueName="4" name="email" queryTableFieldId="4" dataDxfId="19"/>
    <tableColumn id="5" xr3:uid="{A05BAAD1-4A22-4F26-B9E6-B4DA4B7FFF5C}" uniqueName="5" name="gender" queryTableFieldId="5" dataDxfId="18"/>
    <tableColumn id="6" xr3:uid="{B9DA2170-27BA-45BE-95A2-25947CA0C101}" uniqueName="6" name="department" queryTableFieldId="6" dataDxfId="17"/>
    <tableColumn id="7" xr3:uid="{831AF8B5-A938-4710-B94A-630F3F30CEEB}" uniqueName="7" name="job_title" queryTableFieldId="7" dataDxfId="16"/>
    <tableColumn id="8" xr3:uid="{F6FD8304-B700-4C03-B7AB-5A1A2B502AC1}" uniqueName="8" name="hire_date" queryTableFieldId="8" dataDxfId="15"/>
    <tableColumn id="18" xr3:uid="{911F82F8-C392-4816-A015-F7EE5F0ADD71}" uniqueName="18" name="hire_date(YEAR)" queryTableFieldId="18" dataDxfId="14">
      <calculatedColumnFormula>YEAR(Week_3_Employee_Data_CLEANED[[#This Row],[hire_date]])</calculatedColumnFormula>
    </tableColumn>
    <tableColumn id="9" xr3:uid="{C6EC887D-BBFF-4210-9455-F97C63094864}" uniqueName="9" name="exit_date" queryTableFieldId="9" dataDxfId="13"/>
    <tableColumn id="10" xr3:uid="{6B074271-0CBA-45BF-B208-005203916EFE}" uniqueName="10" name="is_active" queryTableFieldId="10"/>
    <tableColumn id="11" xr3:uid="{BDCFB0CF-A4BB-4660-9CA5-138DC0584319}" uniqueName="11" name="salary" queryTableFieldId="11"/>
    <tableColumn id="12" xr3:uid="{9A81DFD5-416F-499E-8026-38836D4FB4CC}" uniqueName="12" name="currency" queryTableFieldId="12" dataDxfId="12"/>
    <tableColumn id="13" xr3:uid="{35ACD07B-0F72-4BCA-9EEF-6C260CF21E3F}" uniqueName="13" name="country" queryTableFieldId="13" dataDxfId="11"/>
    <tableColumn id="14" xr3:uid="{708E93A3-F336-4983-9CBB-B0BDFF19C30A}" uniqueName="14" name="state" queryTableFieldId="14" dataDxfId="10"/>
    <tableColumn id="15" xr3:uid="{A23BB1B6-094F-4353-8E81-8D3A7628ACF8}" uniqueName="15" name="city" queryTableFieldId="15" dataDxfId="9"/>
    <tableColumn id="16" xr3:uid="{8CCDFA8A-5921-4D28-A824-3021C3ECAB4F}" uniqueName="16" name="manager_id" queryTableFieldId="16"/>
    <tableColumn id="17" xr3:uid="{1E8AD264-4B8B-457F-BF49-B6CA9A3956FD}" uniqueName="17" name="performance_score" queryTableFieldId="17" dataDxfId="8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AC6F-7A00-47E8-B828-27902EDC3927}">
  <sheetPr>
    <tabColor rgb="FFC65911"/>
  </sheetPr>
  <dimension ref="F1:R38"/>
  <sheetViews>
    <sheetView workbookViewId="0">
      <selection activeCell="P20" sqref="P20"/>
    </sheetView>
  </sheetViews>
  <sheetFormatPr defaultRowHeight="15" x14ac:dyDescent="0.25"/>
  <sheetData>
    <row r="1" spans="7:18" x14ac:dyDescent="0.25"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7:18" x14ac:dyDescent="0.25"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</row>
    <row r="3" spans="7:18" x14ac:dyDescent="0.25"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3"/>
    </row>
    <row r="4" spans="7:18" x14ac:dyDescent="0.25"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</row>
    <row r="5" spans="7:18" x14ac:dyDescent="0.25"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7:18" x14ac:dyDescent="0.25"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</row>
    <row r="7" spans="7:18" x14ac:dyDescent="0.25"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3"/>
    </row>
    <row r="8" spans="7:18" x14ac:dyDescent="0.25"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3"/>
    </row>
    <row r="9" spans="7:18" x14ac:dyDescent="0.25"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3"/>
    </row>
    <row r="10" spans="7:18" x14ac:dyDescent="0.25"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3"/>
    </row>
    <row r="11" spans="7:18" x14ac:dyDescent="0.25"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3"/>
    </row>
    <row r="12" spans="7:18" x14ac:dyDescent="0.25"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/>
    </row>
    <row r="13" spans="7:18" x14ac:dyDescent="0.25"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/>
    </row>
    <row r="14" spans="7:18" ht="15" customHeight="1" x14ac:dyDescent="0.25">
      <c r="G14" s="11"/>
      <c r="H14" s="12"/>
      <c r="I14" s="25" t="s">
        <v>266</v>
      </c>
      <c r="J14" s="25"/>
      <c r="K14" s="25"/>
      <c r="L14" s="25"/>
      <c r="M14" s="25"/>
      <c r="N14" s="25"/>
      <c r="O14" s="25"/>
      <c r="P14" s="25"/>
      <c r="Q14" s="12"/>
      <c r="R14" s="13"/>
    </row>
    <row r="15" spans="7:18" ht="15" customHeight="1" x14ac:dyDescent="0.25">
      <c r="G15" s="11"/>
      <c r="H15" s="12"/>
      <c r="I15" s="25"/>
      <c r="J15" s="25"/>
      <c r="K15" s="25"/>
      <c r="L15" s="25"/>
      <c r="M15" s="25"/>
      <c r="N15" s="25"/>
      <c r="O15" s="25"/>
      <c r="P15" s="25"/>
      <c r="Q15" s="12"/>
      <c r="R15" s="13"/>
    </row>
    <row r="16" spans="7:18" ht="18.75" x14ac:dyDescent="0.3">
      <c r="G16" s="11"/>
      <c r="H16" s="16" t="s">
        <v>0</v>
      </c>
      <c r="I16" s="12"/>
      <c r="J16" s="12"/>
      <c r="K16" s="12"/>
      <c r="L16" s="12"/>
      <c r="M16" s="12"/>
      <c r="N16" s="12"/>
      <c r="O16" s="12"/>
      <c r="P16" s="12"/>
      <c r="Q16" s="12"/>
      <c r="R16" s="13"/>
    </row>
    <row r="17" spans="7:18" ht="8.25" customHeight="1" x14ac:dyDescent="0.3">
      <c r="G17" s="11"/>
      <c r="H17" s="16"/>
      <c r="I17" s="12"/>
      <c r="J17" s="12"/>
      <c r="K17" s="12"/>
      <c r="L17" s="12"/>
      <c r="M17" s="12"/>
      <c r="N17" s="12"/>
      <c r="O17" s="12"/>
      <c r="P17" s="12"/>
      <c r="Q17" s="12"/>
      <c r="R17" s="13"/>
    </row>
    <row r="18" spans="7:18" ht="18.75" x14ac:dyDescent="0.3">
      <c r="G18" s="11"/>
      <c r="H18" s="14" t="s">
        <v>1</v>
      </c>
      <c r="I18" s="15"/>
      <c r="J18" s="15"/>
      <c r="K18" s="12"/>
      <c r="L18" s="12"/>
      <c r="M18" s="12"/>
      <c r="N18" s="12"/>
      <c r="O18" s="12"/>
      <c r="P18" s="12"/>
      <c r="Q18" s="12"/>
      <c r="R18" s="13"/>
    </row>
    <row r="19" spans="7:18" ht="15.75" x14ac:dyDescent="0.25">
      <c r="G19" s="11"/>
      <c r="H19" s="15"/>
      <c r="I19" s="15" t="s">
        <v>2</v>
      </c>
      <c r="J19" s="15"/>
      <c r="K19" s="12"/>
      <c r="L19" s="12"/>
      <c r="M19" s="12"/>
      <c r="N19" s="12"/>
      <c r="O19" s="12"/>
      <c r="P19" s="12"/>
      <c r="Q19" s="12"/>
      <c r="R19" s="13"/>
    </row>
    <row r="20" spans="7:18" ht="15.75" x14ac:dyDescent="0.25">
      <c r="G20" s="11"/>
      <c r="H20" s="15"/>
      <c r="I20" s="15" t="s">
        <v>3</v>
      </c>
      <c r="J20" s="15"/>
      <c r="K20" s="12"/>
      <c r="L20" s="12"/>
      <c r="M20" s="12"/>
      <c r="N20" s="12"/>
      <c r="O20" s="12"/>
      <c r="P20" s="12"/>
      <c r="Q20" s="12"/>
      <c r="R20" s="13"/>
    </row>
    <row r="21" spans="7:18" ht="15.75" x14ac:dyDescent="0.25">
      <c r="G21" s="11"/>
      <c r="H21" s="15"/>
      <c r="I21" s="15" t="s">
        <v>4</v>
      </c>
      <c r="J21" s="15"/>
      <c r="K21" s="12"/>
      <c r="L21" s="12"/>
      <c r="M21" s="12"/>
      <c r="N21" s="12"/>
      <c r="O21" s="12"/>
      <c r="P21" s="12"/>
      <c r="Q21" s="12"/>
      <c r="R21" s="13"/>
    </row>
    <row r="22" spans="7:18" ht="15.75" x14ac:dyDescent="0.25">
      <c r="G22" s="11"/>
      <c r="H22" s="15"/>
      <c r="I22" s="15" t="s">
        <v>5</v>
      </c>
      <c r="J22" s="15"/>
      <c r="K22" s="12"/>
      <c r="L22" s="12"/>
      <c r="M22" s="12"/>
      <c r="N22" s="12"/>
      <c r="O22" s="12"/>
      <c r="P22" s="12"/>
      <c r="Q22" s="12"/>
      <c r="R22" s="13"/>
    </row>
    <row r="23" spans="7:18" ht="15.75" x14ac:dyDescent="0.25">
      <c r="G23" s="11"/>
      <c r="H23" s="15"/>
      <c r="I23" s="15" t="s">
        <v>6</v>
      </c>
      <c r="J23" s="15"/>
      <c r="K23" s="12"/>
      <c r="L23" s="12"/>
      <c r="M23" s="12"/>
      <c r="N23" s="12"/>
      <c r="O23" s="12"/>
      <c r="P23" s="12"/>
      <c r="Q23" s="12"/>
      <c r="R23" s="13"/>
    </row>
    <row r="24" spans="7:18" ht="15.75" x14ac:dyDescent="0.25">
      <c r="G24" s="11"/>
      <c r="H24" s="15"/>
      <c r="I24" s="15"/>
      <c r="J24" s="15"/>
      <c r="K24" s="12"/>
      <c r="L24" s="12"/>
      <c r="M24" s="12"/>
      <c r="N24" s="12"/>
      <c r="O24" s="12"/>
      <c r="P24" s="12"/>
      <c r="Q24" s="12"/>
      <c r="R24" s="13"/>
    </row>
    <row r="25" spans="7:18" x14ac:dyDescent="0.25"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3"/>
    </row>
    <row r="26" spans="7:18" x14ac:dyDescent="0.25"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3"/>
    </row>
    <row r="27" spans="7:18" x14ac:dyDescent="0.25"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3"/>
    </row>
    <row r="28" spans="7:18" x14ac:dyDescent="0.25"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3"/>
    </row>
    <row r="29" spans="7:18" x14ac:dyDescent="0.25"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3"/>
    </row>
    <row r="30" spans="7:18" x14ac:dyDescent="0.25"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3"/>
    </row>
    <row r="31" spans="7:18" x14ac:dyDescent="0.25"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3"/>
    </row>
    <row r="32" spans="7:18" x14ac:dyDescent="0.25"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8"/>
    </row>
    <row r="33" spans="6:18" x14ac:dyDescent="0.25">
      <c r="F33" s="17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8"/>
    </row>
    <row r="34" spans="6:18" x14ac:dyDescent="0.25">
      <c r="F34" s="17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8"/>
    </row>
    <row r="35" spans="6:18" x14ac:dyDescent="0.25">
      <c r="F35" s="17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8"/>
    </row>
    <row r="36" spans="6:18" x14ac:dyDescent="0.25">
      <c r="F36" s="17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8"/>
    </row>
    <row r="37" spans="6:18" x14ac:dyDescent="0.25">
      <c r="F37" s="17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8"/>
    </row>
    <row r="38" spans="6:18" ht="15.75" thickBot="1" x14ac:dyDescent="0.3">
      <c r="F38" s="17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1"/>
    </row>
  </sheetData>
  <mergeCells count="1">
    <mergeCell ref="I14:P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E5EF-0C31-4EA1-91E8-CAE6924D86A0}">
  <sheetPr>
    <tabColor rgb="FFC65911"/>
  </sheetPr>
  <dimension ref="A1:R151"/>
  <sheetViews>
    <sheetView tabSelected="1" topLeftCell="J1" workbookViewId="0">
      <selection activeCell="O8" sqref="O8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12.7109375" bestFit="1" customWidth="1"/>
    <col min="4" max="4" width="30.5703125" bestFit="1" customWidth="1"/>
    <col min="5" max="5" width="9.7109375" bestFit="1" customWidth="1"/>
    <col min="6" max="6" width="22.42578125" bestFit="1" customWidth="1"/>
    <col min="7" max="7" width="13.7109375" bestFit="1" customWidth="1"/>
    <col min="8" max="8" width="12" style="1" bestFit="1" customWidth="1"/>
    <col min="9" max="9" width="12" style="5" customWidth="1"/>
    <col min="10" max="10" width="11.85546875" bestFit="1" customWidth="1"/>
    <col min="11" max="11" width="11.140625" bestFit="1" customWidth="1"/>
    <col min="12" max="12" width="10.42578125" bestFit="1" customWidth="1"/>
    <col min="13" max="13" width="11.140625" bestFit="1" customWidth="1"/>
    <col min="14" max="14" width="15.42578125" bestFit="1" customWidth="1"/>
    <col min="15" max="15" width="13.5703125" bestFit="1" customWidth="1"/>
    <col min="16" max="16" width="13.42578125" bestFit="1" customWidth="1"/>
    <col min="17" max="17" width="14" bestFit="1" customWidth="1"/>
    <col min="18" max="18" width="21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s="1" t="s">
        <v>14</v>
      </c>
      <c r="I1" s="5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  <row r="2" spans="1:18" x14ac:dyDescent="0.25">
      <c r="A2">
        <v>1001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s="1">
        <v>42884</v>
      </c>
      <c r="I2" s="5">
        <f>YEAR(Week_3_Employee_Data_CLEANED[[#This Row],[hire_date]])</f>
        <v>2017</v>
      </c>
      <c r="J2" s="1"/>
      <c r="K2" t="b">
        <v>1</v>
      </c>
      <c r="L2">
        <v>55286.31</v>
      </c>
      <c r="M2" t="s">
        <v>31</v>
      </c>
      <c r="N2" t="s">
        <v>32</v>
      </c>
      <c r="O2" t="s">
        <v>33</v>
      </c>
      <c r="P2" t="s">
        <v>34</v>
      </c>
      <c r="R2" t="s">
        <v>34</v>
      </c>
    </row>
    <row r="3" spans="1:18" x14ac:dyDescent="0.25">
      <c r="A3">
        <v>1002</v>
      </c>
      <c r="B3" t="s">
        <v>35</v>
      </c>
      <c r="C3" t="s">
        <v>36</v>
      </c>
      <c r="D3" t="s">
        <v>37</v>
      </c>
      <c r="E3" t="s">
        <v>28</v>
      </c>
      <c r="F3" t="s">
        <v>29</v>
      </c>
      <c r="G3" t="s">
        <v>30</v>
      </c>
      <c r="H3" s="1">
        <v>42487</v>
      </c>
      <c r="I3" s="5">
        <f>YEAR(Week_3_Employee_Data_CLEANED[[#This Row],[hire_date]])</f>
        <v>2016</v>
      </c>
      <c r="J3" s="1"/>
      <c r="K3" t="b">
        <v>1</v>
      </c>
      <c r="L3">
        <v>29408.75</v>
      </c>
      <c r="M3" t="s">
        <v>31</v>
      </c>
      <c r="N3" t="s">
        <v>32</v>
      </c>
      <c r="O3" t="s">
        <v>38</v>
      </c>
      <c r="P3" t="s">
        <v>39</v>
      </c>
      <c r="Q3">
        <v>1001</v>
      </c>
      <c r="R3" t="s">
        <v>40</v>
      </c>
    </row>
    <row r="4" spans="1:18" x14ac:dyDescent="0.25">
      <c r="A4">
        <v>1003</v>
      </c>
      <c r="B4" t="s">
        <v>41</v>
      </c>
      <c r="C4" t="s">
        <v>42</v>
      </c>
      <c r="D4" t="s">
        <v>43</v>
      </c>
      <c r="E4" t="s">
        <v>28</v>
      </c>
      <c r="F4" t="s">
        <v>44</v>
      </c>
      <c r="G4" t="s">
        <v>45</v>
      </c>
      <c r="H4" s="1">
        <v>42340</v>
      </c>
      <c r="I4" s="5">
        <f>YEAR(Week_3_Employee_Data_CLEANED[[#This Row],[hire_date]])</f>
        <v>2015</v>
      </c>
      <c r="J4" s="1"/>
      <c r="K4" t="b">
        <v>0</v>
      </c>
      <c r="L4">
        <v>35393.839999999997</v>
      </c>
      <c r="M4" t="s">
        <v>46</v>
      </c>
      <c r="N4" t="s">
        <v>47</v>
      </c>
      <c r="O4" t="s">
        <v>48</v>
      </c>
      <c r="P4" t="s">
        <v>49</v>
      </c>
      <c r="R4" t="s">
        <v>34</v>
      </c>
    </row>
    <row r="5" spans="1:18" x14ac:dyDescent="0.25">
      <c r="A5">
        <v>1004</v>
      </c>
      <c r="B5" t="s">
        <v>35</v>
      </c>
      <c r="C5" t="s">
        <v>50</v>
      </c>
      <c r="D5" t="s">
        <v>51</v>
      </c>
      <c r="E5" t="s">
        <v>28</v>
      </c>
      <c r="F5" t="s">
        <v>52</v>
      </c>
      <c r="G5" t="s">
        <v>53</v>
      </c>
      <c r="H5" s="1">
        <v>42388</v>
      </c>
      <c r="I5" s="5">
        <f>YEAR(Week_3_Employee_Data_CLEANED[[#This Row],[hire_date]])</f>
        <v>2016</v>
      </c>
      <c r="J5" s="1"/>
      <c r="K5" t="b">
        <v>1</v>
      </c>
      <c r="L5">
        <v>39890.199999999997</v>
      </c>
      <c r="M5" t="s">
        <v>31</v>
      </c>
      <c r="N5" t="s">
        <v>54</v>
      </c>
      <c r="O5" t="s">
        <v>48</v>
      </c>
      <c r="P5" t="s">
        <v>34</v>
      </c>
      <c r="Q5">
        <v>1003</v>
      </c>
      <c r="R5" t="s">
        <v>40</v>
      </c>
    </row>
    <row r="6" spans="1:18" x14ac:dyDescent="0.25">
      <c r="A6">
        <v>1005</v>
      </c>
      <c r="B6" t="s">
        <v>55</v>
      </c>
      <c r="C6" t="s">
        <v>42</v>
      </c>
      <c r="D6" t="s">
        <v>56</v>
      </c>
      <c r="E6" t="s">
        <v>28</v>
      </c>
      <c r="F6" t="s">
        <v>29</v>
      </c>
      <c r="G6" t="s">
        <v>45</v>
      </c>
      <c r="H6" s="1">
        <v>43634</v>
      </c>
      <c r="I6" s="5">
        <f>YEAR(Week_3_Employee_Data_CLEANED[[#This Row],[hire_date]])</f>
        <v>2019</v>
      </c>
      <c r="J6" s="1">
        <v>44583</v>
      </c>
      <c r="K6" t="b">
        <v>0</v>
      </c>
      <c r="L6">
        <v>25532.92</v>
      </c>
      <c r="M6" t="s">
        <v>31</v>
      </c>
      <c r="N6" t="s">
        <v>57</v>
      </c>
      <c r="O6" t="s">
        <v>58</v>
      </c>
      <c r="P6" t="s">
        <v>59</v>
      </c>
      <c r="R6" t="s">
        <v>60</v>
      </c>
    </row>
    <row r="7" spans="1:18" x14ac:dyDescent="0.25">
      <c r="A7">
        <v>1006</v>
      </c>
      <c r="B7" t="s">
        <v>61</v>
      </c>
      <c r="C7" t="s">
        <v>62</v>
      </c>
      <c r="D7" t="s">
        <v>63</v>
      </c>
      <c r="E7" t="s">
        <v>28</v>
      </c>
      <c r="F7" t="s">
        <v>64</v>
      </c>
      <c r="G7" t="s">
        <v>65</v>
      </c>
      <c r="H7" s="1">
        <v>43081</v>
      </c>
      <c r="I7" s="5">
        <f>YEAR(Week_3_Employee_Data_CLEANED[[#This Row],[hire_date]])</f>
        <v>2017</v>
      </c>
      <c r="J7" s="1"/>
      <c r="K7" t="b">
        <v>0</v>
      </c>
      <c r="L7">
        <v>35024.79</v>
      </c>
      <c r="M7" t="s">
        <v>31</v>
      </c>
      <c r="N7" t="s">
        <v>47</v>
      </c>
      <c r="O7" t="s">
        <v>58</v>
      </c>
      <c r="P7" t="s">
        <v>34</v>
      </c>
      <c r="Q7">
        <v>1005</v>
      </c>
      <c r="R7" t="s">
        <v>66</v>
      </c>
    </row>
    <row r="8" spans="1:18" x14ac:dyDescent="0.25">
      <c r="A8">
        <v>1007</v>
      </c>
      <c r="B8" t="s">
        <v>67</v>
      </c>
      <c r="C8" t="s">
        <v>68</v>
      </c>
      <c r="D8" t="s">
        <v>69</v>
      </c>
      <c r="E8" t="s">
        <v>28</v>
      </c>
      <c r="F8" t="s">
        <v>52</v>
      </c>
      <c r="G8" t="s">
        <v>65</v>
      </c>
      <c r="H8" s="1">
        <v>42455</v>
      </c>
      <c r="I8" s="5">
        <f>YEAR(Week_3_Employee_Data_CLEANED[[#This Row],[hire_date]])</f>
        <v>2016</v>
      </c>
      <c r="J8" s="1">
        <v>42794</v>
      </c>
      <c r="K8" t="b">
        <v>0</v>
      </c>
      <c r="L8">
        <v>34989.32</v>
      </c>
      <c r="M8" t="s">
        <v>70</v>
      </c>
      <c r="N8" t="s">
        <v>57</v>
      </c>
      <c r="O8" t="s">
        <v>33</v>
      </c>
      <c r="P8" t="s">
        <v>34</v>
      </c>
      <c r="Q8">
        <v>1003</v>
      </c>
      <c r="R8" t="s">
        <v>71</v>
      </c>
    </row>
    <row r="9" spans="1:18" x14ac:dyDescent="0.25">
      <c r="A9">
        <v>1008</v>
      </c>
      <c r="B9" t="s">
        <v>67</v>
      </c>
      <c r="C9" t="s">
        <v>72</v>
      </c>
      <c r="D9" t="s">
        <v>73</v>
      </c>
      <c r="E9" t="s">
        <v>74</v>
      </c>
      <c r="F9" t="s">
        <v>29</v>
      </c>
      <c r="G9" t="s">
        <v>53</v>
      </c>
      <c r="H9" s="1">
        <v>43408</v>
      </c>
      <c r="I9" s="5">
        <f>YEAR(Week_3_Employee_Data_CLEANED[[#This Row],[hire_date]])</f>
        <v>2018</v>
      </c>
      <c r="J9" s="1"/>
      <c r="K9" t="b">
        <v>1</v>
      </c>
      <c r="L9">
        <v>13943.31</v>
      </c>
      <c r="M9" t="s">
        <v>31</v>
      </c>
      <c r="N9" t="s">
        <v>54</v>
      </c>
      <c r="O9" t="s">
        <v>38</v>
      </c>
      <c r="P9" t="s">
        <v>34</v>
      </c>
      <c r="Q9">
        <v>1006</v>
      </c>
      <c r="R9" t="s">
        <v>34</v>
      </c>
    </row>
    <row r="10" spans="1:18" x14ac:dyDescent="0.25">
      <c r="A10">
        <v>1009</v>
      </c>
      <c r="B10" t="s">
        <v>75</v>
      </c>
      <c r="C10" t="s">
        <v>26</v>
      </c>
      <c r="D10" t="s">
        <v>76</v>
      </c>
      <c r="E10" t="s">
        <v>74</v>
      </c>
      <c r="F10" t="s">
        <v>44</v>
      </c>
      <c r="G10" t="s">
        <v>45</v>
      </c>
      <c r="H10" s="1">
        <v>42985</v>
      </c>
      <c r="I10" s="5">
        <f>YEAR(Week_3_Employee_Data_CLEANED[[#This Row],[hire_date]])</f>
        <v>2017</v>
      </c>
      <c r="J10" s="1">
        <v>44075</v>
      </c>
      <c r="K10" t="b">
        <v>0</v>
      </c>
      <c r="L10">
        <v>47211.9</v>
      </c>
      <c r="M10" t="s">
        <v>46</v>
      </c>
      <c r="N10" t="s">
        <v>57</v>
      </c>
      <c r="O10" t="s">
        <v>33</v>
      </c>
      <c r="P10" t="s">
        <v>34</v>
      </c>
      <c r="Q10">
        <v>1006</v>
      </c>
      <c r="R10" t="s">
        <v>40</v>
      </c>
    </row>
    <row r="11" spans="1:18" x14ac:dyDescent="0.25">
      <c r="A11">
        <v>1010</v>
      </c>
      <c r="B11" t="s">
        <v>77</v>
      </c>
      <c r="C11" t="s">
        <v>78</v>
      </c>
      <c r="D11" t="s">
        <v>79</v>
      </c>
      <c r="E11" t="s">
        <v>28</v>
      </c>
      <c r="F11" t="s">
        <v>52</v>
      </c>
      <c r="G11" t="s">
        <v>80</v>
      </c>
      <c r="H11" s="1">
        <v>43968</v>
      </c>
      <c r="I11" s="5">
        <f>YEAR(Week_3_Employee_Data_CLEANED[[#This Row],[hire_date]])</f>
        <v>2020</v>
      </c>
      <c r="J11" s="1"/>
      <c r="K11" t="b">
        <v>1</v>
      </c>
      <c r="L11">
        <v>42205.98</v>
      </c>
      <c r="M11" t="s">
        <v>46</v>
      </c>
      <c r="N11" t="s">
        <v>47</v>
      </c>
      <c r="O11" t="s">
        <v>58</v>
      </c>
      <c r="P11" t="s">
        <v>34</v>
      </c>
      <c r="Q11">
        <v>1002</v>
      </c>
      <c r="R11" t="s">
        <v>66</v>
      </c>
    </row>
    <row r="12" spans="1:18" x14ac:dyDescent="0.25">
      <c r="A12">
        <v>1011</v>
      </c>
      <c r="B12" t="s">
        <v>81</v>
      </c>
      <c r="C12" t="s">
        <v>82</v>
      </c>
      <c r="D12" t="s">
        <v>83</v>
      </c>
      <c r="E12" t="s">
        <v>84</v>
      </c>
      <c r="F12" t="s">
        <v>64</v>
      </c>
      <c r="G12" t="s">
        <v>85</v>
      </c>
      <c r="H12" s="1">
        <v>44839</v>
      </c>
      <c r="I12" s="5">
        <f>YEAR(Week_3_Employee_Data_CLEANED[[#This Row],[hire_date]])</f>
        <v>2022</v>
      </c>
      <c r="J12" s="1"/>
      <c r="K12" t="b">
        <v>0</v>
      </c>
      <c r="L12">
        <v>27494.85</v>
      </c>
      <c r="M12" t="s">
        <v>70</v>
      </c>
      <c r="N12" t="s">
        <v>47</v>
      </c>
      <c r="O12" t="s">
        <v>38</v>
      </c>
      <c r="P12" t="s">
        <v>34</v>
      </c>
      <c r="R12" t="s">
        <v>60</v>
      </c>
    </row>
    <row r="13" spans="1:18" x14ac:dyDescent="0.25">
      <c r="A13">
        <v>1012</v>
      </c>
      <c r="B13" t="s">
        <v>86</v>
      </c>
      <c r="C13" t="s">
        <v>72</v>
      </c>
      <c r="D13" t="s">
        <v>87</v>
      </c>
      <c r="E13" t="s">
        <v>84</v>
      </c>
      <c r="F13" t="s">
        <v>52</v>
      </c>
      <c r="G13" t="s">
        <v>45</v>
      </c>
      <c r="H13" s="1">
        <v>44407</v>
      </c>
      <c r="I13" s="5">
        <f>YEAR(Week_3_Employee_Data_CLEANED[[#This Row],[hire_date]])</f>
        <v>2021</v>
      </c>
      <c r="J13" s="1"/>
      <c r="K13" t="b">
        <v>1</v>
      </c>
      <c r="L13">
        <v>32941.42</v>
      </c>
      <c r="M13" t="s">
        <v>31</v>
      </c>
      <c r="N13" t="s">
        <v>54</v>
      </c>
      <c r="O13" t="s">
        <v>58</v>
      </c>
      <c r="P13" t="s">
        <v>34</v>
      </c>
      <c r="R13" t="s">
        <v>60</v>
      </c>
    </row>
    <row r="14" spans="1:18" x14ac:dyDescent="0.25">
      <c r="A14">
        <v>1013</v>
      </c>
      <c r="B14" t="s">
        <v>88</v>
      </c>
      <c r="C14" t="s">
        <v>89</v>
      </c>
      <c r="D14" t="s">
        <v>90</v>
      </c>
      <c r="E14" t="s">
        <v>84</v>
      </c>
      <c r="F14" t="s">
        <v>29</v>
      </c>
      <c r="G14" t="s">
        <v>65</v>
      </c>
      <c r="H14" s="1">
        <v>42584</v>
      </c>
      <c r="I14" s="5">
        <f>YEAR(Week_3_Employee_Data_CLEANED[[#This Row],[hire_date]])</f>
        <v>2016</v>
      </c>
      <c r="J14" s="1"/>
      <c r="K14" t="b">
        <v>0</v>
      </c>
      <c r="L14">
        <v>41063.589999999997</v>
      </c>
      <c r="M14" t="s">
        <v>70</v>
      </c>
      <c r="N14" t="s">
        <v>54</v>
      </c>
      <c r="O14" t="s">
        <v>38</v>
      </c>
      <c r="P14" t="s">
        <v>49</v>
      </c>
      <c r="Q14">
        <v>1001</v>
      </c>
      <c r="R14" t="s">
        <v>66</v>
      </c>
    </row>
    <row r="15" spans="1:18" x14ac:dyDescent="0.25">
      <c r="A15">
        <v>1014</v>
      </c>
      <c r="B15" t="s">
        <v>91</v>
      </c>
      <c r="C15" t="s">
        <v>92</v>
      </c>
      <c r="D15" t="s">
        <v>93</v>
      </c>
      <c r="E15" t="s">
        <v>84</v>
      </c>
      <c r="F15" t="s">
        <v>52</v>
      </c>
      <c r="G15" t="s">
        <v>30</v>
      </c>
      <c r="H15" s="1">
        <v>44189</v>
      </c>
      <c r="I15" s="5">
        <f>YEAR(Week_3_Employee_Data_CLEANED[[#This Row],[hire_date]])</f>
        <v>2020</v>
      </c>
      <c r="J15" s="1">
        <v>45290</v>
      </c>
      <c r="K15" t="b">
        <v>0</v>
      </c>
      <c r="L15">
        <v>31863.72</v>
      </c>
      <c r="M15" t="s">
        <v>70</v>
      </c>
      <c r="N15" t="s">
        <v>54</v>
      </c>
      <c r="O15" t="s">
        <v>33</v>
      </c>
      <c r="P15" t="s">
        <v>59</v>
      </c>
      <c r="Q15">
        <v>1008</v>
      </c>
      <c r="R15" t="s">
        <v>66</v>
      </c>
    </row>
    <row r="16" spans="1:18" x14ac:dyDescent="0.25">
      <c r="A16">
        <v>1015</v>
      </c>
      <c r="B16" t="s">
        <v>77</v>
      </c>
      <c r="C16" t="s">
        <v>78</v>
      </c>
      <c r="D16" t="s">
        <v>94</v>
      </c>
      <c r="E16" t="s">
        <v>74</v>
      </c>
      <c r="F16" t="s">
        <v>29</v>
      </c>
      <c r="G16" t="s">
        <v>85</v>
      </c>
      <c r="H16" s="1">
        <v>42904</v>
      </c>
      <c r="I16" s="5">
        <f>YEAR(Week_3_Employee_Data_CLEANED[[#This Row],[hire_date]])</f>
        <v>2017</v>
      </c>
      <c r="J16" s="1"/>
      <c r="K16" t="b">
        <v>1</v>
      </c>
      <c r="L16">
        <v>32087.01</v>
      </c>
      <c r="M16" t="s">
        <v>46</v>
      </c>
      <c r="N16" t="s">
        <v>54</v>
      </c>
      <c r="O16" t="s">
        <v>58</v>
      </c>
      <c r="P16" t="s">
        <v>95</v>
      </c>
      <c r="Q16">
        <v>1006</v>
      </c>
      <c r="R16" t="s">
        <v>71</v>
      </c>
    </row>
    <row r="17" spans="1:18" x14ac:dyDescent="0.25">
      <c r="A17">
        <v>1016</v>
      </c>
      <c r="B17" t="s">
        <v>25</v>
      </c>
      <c r="C17" t="s">
        <v>89</v>
      </c>
      <c r="D17" t="s">
        <v>96</v>
      </c>
      <c r="E17" t="s">
        <v>74</v>
      </c>
      <c r="F17" t="s">
        <v>64</v>
      </c>
      <c r="G17" t="s">
        <v>97</v>
      </c>
      <c r="H17" s="1">
        <v>44103</v>
      </c>
      <c r="I17" s="5">
        <f>YEAR(Week_3_Employee_Data_CLEANED[[#This Row],[hire_date]])</f>
        <v>2020</v>
      </c>
      <c r="J17" s="1"/>
      <c r="K17" t="b">
        <v>1</v>
      </c>
      <c r="L17">
        <v>17561.099999999999</v>
      </c>
      <c r="M17" t="s">
        <v>70</v>
      </c>
      <c r="N17" t="s">
        <v>47</v>
      </c>
      <c r="O17" t="s">
        <v>48</v>
      </c>
      <c r="P17" t="s">
        <v>34</v>
      </c>
      <c r="Q17">
        <v>1007</v>
      </c>
      <c r="R17" t="s">
        <v>66</v>
      </c>
    </row>
    <row r="18" spans="1:18" x14ac:dyDescent="0.25">
      <c r="A18">
        <v>1017</v>
      </c>
      <c r="B18" t="s">
        <v>61</v>
      </c>
      <c r="C18" t="s">
        <v>89</v>
      </c>
      <c r="D18" t="s">
        <v>98</v>
      </c>
      <c r="E18" t="s">
        <v>74</v>
      </c>
      <c r="F18" t="s">
        <v>44</v>
      </c>
      <c r="G18" t="s">
        <v>65</v>
      </c>
      <c r="H18" s="1">
        <v>43747</v>
      </c>
      <c r="I18" s="5">
        <f>YEAR(Week_3_Employee_Data_CLEANED[[#This Row],[hire_date]])</f>
        <v>2019</v>
      </c>
      <c r="J18" s="1">
        <v>43958</v>
      </c>
      <c r="K18" t="b">
        <v>0</v>
      </c>
      <c r="L18">
        <v>41654.959999999999</v>
      </c>
      <c r="M18" t="s">
        <v>70</v>
      </c>
      <c r="N18" t="s">
        <v>54</v>
      </c>
      <c r="O18" t="s">
        <v>38</v>
      </c>
      <c r="P18" t="s">
        <v>95</v>
      </c>
      <c r="R18" t="s">
        <v>34</v>
      </c>
    </row>
    <row r="19" spans="1:18" x14ac:dyDescent="0.25">
      <c r="A19">
        <v>1018</v>
      </c>
      <c r="B19" t="s">
        <v>61</v>
      </c>
      <c r="C19" t="s">
        <v>92</v>
      </c>
      <c r="D19" t="s">
        <v>99</v>
      </c>
      <c r="E19" t="s">
        <v>84</v>
      </c>
      <c r="F19" t="s">
        <v>100</v>
      </c>
      <c r="G19" t="s">
        <v>97</v>
      </c>
      <c r="H19" s="1">
        <v>44580</v>
      </c>
      <c r="I19" s="5">
        <f>YEAR(Week_3_Employee_Data_CLEANED[[#This Row],[hire_date]])</f>
        <v>2022</v>
      </c>
      <c r="J19" s="1"/>
      <c r="K19" t="b">
        <v>1</v>
      </c>
      <c r="L19">
        <v>36486.57</v>
      </c>
      <c r="M19" t="s">
        <v>70</v>
      </c>
      <c r="N19" t="s">
        <v>47</v>
      </c>
      <c r="O19" t="s">
        <v>38</v>
      </c>
      <c r="P19" t="s">
        <v>34</v>
      </c>
      <c r="Q19">
        <v>1007</v>
      </c>
      <c r="R19" t="s">
        <v>66</v>
      </c>
    </row>
    <row r="20" spans="1:18" x14ac:dyDescent="0.25">
      <c r="A20">
        <v>1019</v>
      </c>
      <c r="B20" t="s">
        <v>67</v>
      </c>
      <c r="C20" t="s">
        <v>101</v>
      </c>
      <c r="D20" t="s">
        <v>102</v>
      </c>
      <c r="E20" t="s">
        <v>28</v>
      </c>
      <c r="F20" t="s">
        <v>100</v>
      </c>
      <c r="G20" t="s">
        <v>103</v>
      </c>
      <c r="H20" s="1">
        <v>42818</v>
      </c>
      <c r="I20" s="5">
        <f>YEAR(Week_3_Employee_Data_CLEANED[[#This Row],[hire_date]])</f>
        <v>2017</v>
      </c>
      <c r="J20" s="1"/>
      <c r="K20" t="b">
        <v>0</v>
      </c>
      <c r="L20">
        <v>38293.519999999997</v>
      </c>
      <c r="M20" t="s">
        <v>70</v>
      </c>
      <c r="N20" t="s">
        <v>32</v>
      </c>
      <c r="O20" t="s">
        <v>34</v>
      </c>
      <c r="P20" t="s">
        <v>34</v>
      </c>
      <c r="R20" t="s">
        <v>71</v>
      </c>
    </row>
    <row r="21" spans="1:18" x14ac:dyDescent="0.25">
      <c r="A21">
        <v>1020</v>
      </c>
      <c r="B21" t="s">
        <v>104</v>
      </c>
      <c r="C21" t="s">
        <v>72</v>
      </c>
      <c r="D21" t="s">
        <v>105</v>
      </c>
      <c r="E21" t="s">
        <v>84</v>
      </c>
      <c r="F21" t="s">
        <v>29</v>
      </c>
      <c r="G21" t="s">
        <v>65</v>
      </c>
      <c r="H21" s="1">
        <v>43106</v>
      </c>
      <c r="I21" s="5">
        <f>YEAR(Week_3_Employee_Data_CLEANED[[#This Row],[hire_date]])</f>
        <v>2018</v>
      </c>
      <c r="J21" s="1"/>
      <c r="K21" t="b">
        <v>0</v>
      </c>
      <c r="L21">
        <v>16681.71</v>
      </c>
      <c r="M21" t="s">
        <v>46</v>
      </c>
      <c r="N21" t="s">
        <v>47</v>
      </c>
      <c r="O21" t="s">
        <v>38</v>
      </c>
      <c r="P21" t="s">
        <v>95</v>
      </c>
      <c r="Q21">
        <v>1016</v>
      </c>
      <c r="R21" t="s">
        <v>60</v>
      </c>
    </row>
    <row r="22" spans="1:18" x14ac:dyDescent="0.25">
      <c r="A22">
        <v>1021</v>
      </c>
      <c r="B22" t="s">
        <v>88</v>
      </c>
      <c r="C22" t="s">
        <v>50</v>
      </c>
      <c r="D22" t="s">
        <v>106</v>
      </c>
      <c r="E22" t="s">
        <v>84</v>
      </c>
      <c r="F22" t="s">
        <v>64</v>
      </c>
      <c r="G22" t="s">
        <v>80</v>
      </c>
      <c r="H22" s="1">
        <v>43502</v>
      </c>
      <c r="I22" s="5">
        <f>YEAR(Week_3_Employee_Data_CLEANED[[#This Row],[hire_date]])</f>
        <v>2019</v>
      </c>
      <c r="J22" s="1"/>
      <c r="K22" t="b">
        <v>1</v>
      </c>
      <c r="L22">
        <v>54808.4</v>
      </c>
      <c r="M22" t="s">
        <v>70</v>
      </c>
      <c r="N22" t="s">
        <v>57</v>
      </c>
      <c r="O22" t="s">
        <v>48</v>
      </c>
      <c r="P22" t="s">
        <v>34</v>
      </c>
      <c r="R22" t="s">
        <v>60</v>
      </c>
    </row>
    <row r="23" spans="1:18" x14ac:dyDescent="0.25">
      <c r="A23">
        <v>1022</v>
      </c>
      <c r="B23" t="s">
        <v>107</v>
      </c>
      <c r="C23" t="s">
        <v>72</v>
      </c>
      <c r="D23" t="s">
        <v>108</v>
      </c>
      <c r="E23" t="s">
        <v>28</v>
      </c>
      <c r="F23" t="s">
        <v>29</v>
      </c>
      <c r="G23" t="s">
        <v>65</v>
      </c>
      <c r="H23" s="1">
        <v>44614</v>
      </c>
      <c r="I23" s="5">
        <f>YEAR(Week_3_Employee_Data_CLEANED[[#This Row],[hire_date]])</f>
        <v>2022</v>
      </c>
      <c r="J23" s="1"/>
      <c r="K23" t="b">
        <v>1</v>
      </c>
      <c r="L23">
        <v>36852.03</v>
      </c>
      <c r="M23" t="s">
        <v>46</v>
      </c>
      <c r="N23" t="s">
        <v>57</v>
      </c>
      <c r="O23" t="s">
        <v>38</v>
      </c>
      <c r="P23" t="s">
        <v>59</v>
      </c>
      <c r="Q23">
        <v>1017</v>
      </c>
      <c r="R23" t="s">
        <v>34</v>
      </c>
    </row>
    <row r="24" spans="1:18" x14ac:dyDescent="0.25">
      <c r="A24">
        <v>1023</v>
      </c>
      <c r="B24" t="s">
        <v>77</v>
      </c>
      <c r="C24" t="s">
        <v>82</v>
      </c>
      <c r="D24" t="s">
        <v>109</v>
      </c>
      <c r="E24" t="s">
        <v>74</v>
      </c>
      <c r="F24" t="s">
        <v>44</v>
      </c>
      <c r="G24" t="s">
        <v>45</v>
      </c>
      <c r="H24" s="1">
        <v>42950</v>
      </c>
      <c r="I24" s="5">
        <f>YEAR(Week_3_Employee_Data_CLEANED[[#This Row],[hire_date]])</f>
        <v>2017</v>
      </c>
      <c r="J24" s="1"/>
      <c r="K24" t="b">
        <v>0</v>
      </c>
      <c r="L24">
        <v>30354.32</v>
      </c>
      <c r="M24" t="s">
        <v>70</v>
      </c>
      <c r="N24" t="s">
        <v>47</v>
      </c>
      <c r="O24" t="s">
        <v>38</v>
      </c>
      <c r="P24" t="s">
        <v>110</v>
      </c>
      <c r="Q24">
        <v>1009</v>
      </c>
      <c r="R24" t="s">
        <v>34</v>
      </c>
    </row>
    <row r="25" spans="1:18" x14ac:dyDescent="0.25">
      <c r="A25">
        <v>1024</v>
      </c>
      <c r="B25" t="s">
        <v>35</v>
      </c>
      <c r="C25" t="s">
        <v>26</v>
      </c>
      <c r="D25" t="s">
        <v>111</v>
      </c>
      <c r="E25" t="s">
        <v>28</v>
      </c>
      <c r="F25" t="s">
        <v>64</v>
      </c>
      <c r="G25" t="s">
        <v>53</v>
      </c>
      <c r="H25" s="1">
        <v>44840</v>
      </c>
      <c r="I25" s="5">
        <f>YEAR(Week_3_Employee_Data_CLEANED[[#This Row],[hire_date]])</f>
        <v>2022</v>
      </c>
      <c r="J25" s="1"/>
      <c r="K25" t="b">
        <v>0</v>
      </c>
      <c r="L25">
        <v>59348.87</v>
      </c>
      <c r="M25" t="s">
        <v>31</v>
      </c>
      <c r="N25" t="s">
        <v>47</v>
      </c>
      <c r="O25" t="s">
        <v>48</v>
      </c>
      <c r="P25" t="s">
        <v>39</v>
      </c>
      <c r="R25" t="s">
        <v>71</v>
      </c>
    </row>
    <row r="26" spans="1:18" x14ac:dyDescent="0.25">
      <c r="A26">
        <v>1025</v>
      </c>
      <c r="B26" t="s">
        <v>112</v>
      </c>
      <c r="C26" t="s">
        <v>89</v>
      </c>
      <c r="D26" t="s">
        <v>113</v>
      </c>
      <c r="E26" t="s">
        <v>28</v>
      </c>
      <c r="F26" t="s">
        <v>100</v>
      </c>
      <c r="G26" t="s">
        <v>53</v>
      </c>
      <c r="H26" s="1">
        <v>44446</v>
      </c>
      <c r="I26" s="5">
        <f>YEAR(Week_3_Employee_Data_CLEANED[[#This Row],[hire_date]])</f>
        <v>2021</v>
      </c>
      <c r="J26" s="1"/>
      <c r="K26" t="b">
        <v>0</v>
      </c>
      <c r="L26">
        <v>34455.370000000003</v>
      </c>
      <c r="M26" t="s">
        <v>31</v>
      </c>
      <c r="N26" t="s">
        <v>57</v>
      </c>
      <c r="O26" t="s">
        <v>38</v>
      </c>
      <c r="P26" t="s">
        <v>34</v>
      </c>
      <c r="Q26">
        <v>1016</v>
      </c>
      <c r="R26" t="s">
        <v>66</v>
      </c>
    </row>
    <row r="27" spans="1:18" x14ac:dyDescent="0.25">
      <c r="A27">
        <v>1026</v>
      </c>
      <c r="B27" t="s">
        <v>114</v>
      </c>
      <c r="C27" t="s">
        <v>26</v>
      </c>
      <c r="D27" t="s">
        <v>115</v>
      </c>
      <c r="E27" t="s">
        <v>84</v>
      </c>
      <c r="F27" t="s">
        <v>29</v>
      </c>
      <c r="G27" t="s">
        <v>116</v>
      </c>
      <c r="H27" s="1">
        <v>43413</v>
      </c>
      <c r="I27" s="5">
        <f>YEAR(Week_3_Employee_Data_CLEANED[[#This Row],[hire_date]])</f>
        <v>2018</v>
      </c>
      <c r="J27" s="1"/>
      <c r="K27" t="b">
        <v>0</v>
      </c>
      <c r="L27">
        <v>17591.86</v>
      </c>
      <c r="M27" t="s">
        <v>70</v>
      </c>
      <c r="N27" t="s">
        <v>47</v>
      </c>
      <c r="O27" t="s">
        <v>48</v>
      </c>
      <c r="P27" t="s">
        <v>95</v>
      </c>
      <c r="Q27">
        <v>1003</v>
      </c>
      <c r="R27" t="s">
        <v>71</v>
      </c>
    </row>
    <row r="28" spans="1:18" x14ac:dyDescent="0.25">
      <c r="A28">
        <v>1027</v>
      </c>
      <c r="B28" t="s">
        <v>75</v>
      </c>
      <c r="C28" t="s">
        <v>36</v>
      </c>
      <c r="D28" t="s">
        <v>117</v>
      </c>
      <c r="E28" t="s">
        <v>28</v>
      </c>
      <c r="F28" t="s">
        <v>64</v>
      </c>
      <c r="G28" t="s">
        <v>97</v>
      </c>
      <c r="H28" s="1">
        <v>44605</v>
      </c>
      <c r="I28" s="5">
        <f>YEAR(Week_3_Employee_Data_CLEANED[[#This Row],[hire_date]])</f>
        <v>2022</v>
      </c>
      <c r="J28" s="1"/>
      <c r="K28" t="b">
        <v>0</v>
      </c>
      <c r="L28">
        <v>30137.27</v>
      </c>
      <c r="M28" t="s">
        <v>70</v>
      </c>
      <c r="N28" t="s">
        <v>57</v>
      </c>
      <c r="O28" t="s">
        <v>38</v>
      </c>
      <c r="P28" t="s">
        <v>110</v>
      </c>
      <c r="R28" t="s">
        <v>66</v>
      </c>
    </row>
    <row r="29" spans="1:18" x14ac:dyDescent="0.25">
      <c r="A29">
        <v>1028</v>
      </c>
      <c r="B29" t="s">
        <v>118</v>
      </c>
      <c r="C29" t="s">
        <v>50</v>
      </c>
      <c r="D29" t="s">
        <v>119</v>
      </c>
      <c r="E29" t="s">
        <v>28</v>
      </c>
      <c r="F29" t="s">
        <v>52</v>
      </c>
      <c r="G29" t="s">
        <v>65</v>
      </c>
      <c r="H29" s="1">
        <v>42704</v>
      </c>
      <c r="I29" s="5">
        <f>YEAR(Week_3_Employee_Data_CLEANED[[#This Row],[hire_date]])</f>
        <v>2016</v>
      </c>
      <c r="J29" s="1"/>
      <c r="K29" t="b">
        <v>0</v>
      </c>
      <c r="L29">
        <v>7540.22</v>
      </c>
      <c r="M29" t="s">
        <v>31</v>
      </c>
      <c r="N29" t="s">
        <v>57</v>
      </c>
      <c r="O29" t="s">
        <v>38</v>
      </c>
      <c r="P29" t="s">
        <v>49</v>
      </c>
      <c r="Q29">
        <v>1003</v>
      </c>
      <c r="R29" t="s">
        <v>34</v>
      </c>
    </row>
    <row r="30" spans="1:18" x14ac:dyDescent="0.25">
      <c r="A30">
        <v>1029</v>
      </c>
      <c r="B30" t="s">
        <v>120</v>
      </c>
      <c r="C30" t="s">
        <v>68</v>
      </c>
      <c r="D30" t="s">
        <v>121</v>
      </c>
      <c r="E30" t="s">
        <v>28</v>
      </c>
      <c r="F30" t="s">
        <v>100</v>
      </c>
      <c r="G30" t="s">
        <v>53</v>
      </c>
      <c r="H30" s="1">
        <v>42720</v>
      </c>
      <c r="I30" s="5">
        <f>YEAR(Week_3_Employee_Data_CLEANED[[#This Row],[hire_date]])</f>
        <v>2016</v>
      </c>
      <c r="J30" s="1">
        <v>43279</v>
      </c>
      <c r="K30" t="b">
        <v>0</v>
      </c>
      <c r="L30">
        <v>380742.08</v>
      </c>
      <c r="M30" t="s">
        <v>46</v>
      </c>
      <c r="N30" t="s">
        <v>57</v>
      </c>
      <c r="O30" t="s">
        <v>38</v>
      </c>
      <c r="P30" t="s">
        <v>110</v>
      </c>
      <c r="Q30">
        <v>1009</v>
      </c>
      <c r="R30" t="s">
        <v>66</v>
      </c>
    </row>
    <row r="31" spans="1:18" x14ac:dyDescent="0.25">
      <c r="A31">
        <v>1030</v>
      </c>
      <c r="B31" t="s">
        <v>122</v>
      </c>
      <c r="C31" t="s">
        <v>42</v>
      </c>
      <c r="D31" t="s">
        <v>123</v>
      </c>
      <c r="E31" t="s">
        <v>28</v>
      </c>
      <c r="F31" t="s">
        <v>100</v>
      </c>
      <c r="G31" t="s">
        <v>116</v>
      </c>
      <c r="H31" s="1">
        <v>43642</v>
      </c>
      <c r="I31" s="5">
        <f>YEAR(Week_3_Employee_Data_CLEANED[[#This Row],[hire_date]])</f>
        <v>2019</v>
      </c>
      <c r="J31" s="1"/>
      <c r="K31" t="b">
        <v>1</v>
      </c>
      <c r="L31">
        <v>30002.31</v>
      </c>
      <c r="M31" t="s">
        <v>46</v>
      </c>
      <c r="N31" t="s">
        <v>54</v>
      </c>
      <c r="O31" t="s">
        <v>38</v>
      </c>
      <c r="P31" t="s">
        <v>39</v>
      </c>
      <c r="Q31">
        <v>1027</v>
      </c>
      <c r="R31" t="s">
        <v>66</v>
      </c>
    </row>
    <row r="32" spans="1:18" x14ac:dyDescent="0.25">
      <c r="A32">
        <v>1031</v>
      </c>
      <c r="B32" t="s">
        <v>120</v>
      </c>
      <c r="C32" t="s">
        <v>50</v>
      </c>
      <c r="D32" t="s">
        <v>124</v>
      </c>
      <c r="E32" t="s">
        <v>28</v>
      </c>
      <c r="F32" t="s">
        <v>64</v>
      </c>
      <c r="G32" t="s">
        <v>53</v>
      </c>
      <c r="H32" s="1">
        <v>44876</v>
      </c>
      <c r="I32" s="5">
        <f>YEAR(Week_3_Employee_Data_CLEANED[[#This Row],[hire_date]])</f>
        <v>2022</v>
      </c>
      <c r="J32" s="1"/>
      <c r="K32" t="b">
        <v>1</v>
      </c>
      <c r="L32">
        <v>26089.360000000001</v>
      </c>
      <c r="M32" t="s">
        <v>70</v>
      </c>
      <c r="N32" t="s">
        <v>57</v>
      </c>
      <c r="O32" t="s">
        <v>33</v>
      </c>
      <c r="P32" t="s">
        <v>34</v>
      </c>
      <c r="Q32">
        <v>1021</v>
      </c>
      <c r="R32" t="s">
        <v>71</v>
      </c>
    </row>
    <row r="33" spans="1:18" x14ac:dyDescent="0.25">
      <c r="A33">
        <v>1032</v>
      </c>
      <c r="B33" t="s">
        <v>77</v>
      </c>
      <c r="C33" t="s">
        <v>125</v>
      </c>
      <c r="D33" t="s">
        <v>126</v>
      </c>
      <c r="E33" t="s">
        <v>28</v>
      </c>
      <c r="F33" t="s">
        <v>29</v>
      </c>
      <c r="G33" t="s">
        <v>80</v>
      </c>
      <c r="H33" s="1">
        <v>44206</v>
      </c>
      <c r="I33" s="5">
        <f>YEAR(Week_3_Employee_Data_CLEANED[[#This Row],[hire_date]])</f>
        <v>2021</v>
      </c>
      <c r="J33" s="1"/>
      <c r="K33" t="b">
        <v>1</v>
      </c>
      <c r="L33">
        <v>47869.64</v>
      </c>
      <c r="M33" t="s">
        <v>46</v>
      </c>
      <c r="N33" t="s">
        <v>57</v>
      </c>
      <c r="O33" t="s">
        <v>38</v>
      </c>
      <c r="P33" t="s">
        <v>39</v>
      </c>
      <c r="Q33">
        <v>1029</v>
      </c>
      <c r="R33" t="s">
        <v>71</v>
      </c>
    </row>
    <row r="34" spans="1:18" x14ac:dyDescent="0.25">
      <c r="A34">
        <v>1033</v>
      </c>
      <c r="B34" t="s">
        <v>122</v>
      </c>
      <c r="C34" t="s">
        <v>78</v>
      </c>
      <c r="D34" t="s">
        <v>127</v>
      </c>
      <c r="E34" t="s">
        <v>84</v>
      </c>
      <c r="F34" t="s">
        <v>128</v>
      </c>
      <c r="G34" t="s">
        <v>116</v>
      </c>
      <c r="H34" s="1">
        <v>43489</v>
      </c>
      <c r="I34" s="5">
        <f>YEAR(Week_3_Employee_Data_CLEANED[[#This Row],[hire_date]])</f>
        <v>2019</v>
      </c>
      <c r="J34" s="1"/>
      <c r="K34" t="b">
        <v>1</v>
      </c>
      <c r="L34">
        <v>15187.09</v>
      </c>
      <c r="M34" t="s">
        <v>70</v>
      </c>
      <c r="N34" t="s">
        <v>47</v>
      </c>
      <c r="O34" t="s">
        <v>58</v>
      </c>
      <c r="P34" t="s">
        <v>49</v>
      </c>
      <c r="Q34">
        <v>1019</v>
      </c>
      <c r="R34" t="s">
        <v>66</v>
      </c>
    </row>
    <row r="35" spans="1:18" x14ac:dyDescent="0.25">
      <c r="A35">
        <v>1034</v>
      </c>
      <c r="B35" t="s">
        <v>118</v>
      </c>
      <c r="C35" t="s">
        <v>26</v>
      </c>
      <c r="D35" t="s">
        <v>129</v>
      </c>
      <c r="E35" t="s">
        <v>84</v>
      </c>
      <c r="F35" t="s">
        <v>29</v>
      </c>
      <c r="G35" t="s">
        <v>116</v>
      </c>
      <c r="H35" s="1">
        <v>42227</v>
      </c>
      <c r="I35" s="5">
        <f>YEAR(Week_3_Employee_Data_CLEANED[[#This Row],[hire_date]])</f>
        <v>2015</v>
      </c>
      <c r="J35" s="1">
        <v>42363</v>
      </c>
      <c r="K35" t="b">
        <v>0</v>
      </c>
      <c r="L35">
        <v>41425.15</v>
      </c>
      <c r="M35" t="s">
        <v>46</v>
      </c>
      <c r="N35" t="s">
        <v>32</v>
      </c>
      <c r="O35" t="s">
        <v>38</v>
      </c>
      <c r="P35" t="s">
        <v>49</v>
      </c>
      <c r="Q35">
        <v>1012</v>
      </c>
      <c r="R35" t="s">
        <v>66</v>
      </c>
    </row>
    <row r="36" spans="1:18" x14ac:dyDescent="0.25">
      <c r="A36">
        <v>1035</v>
      </c>
      <c r="B36" t="s">
        <v>107</v>
      </c>
      <c r="C36" t="s">
        <v>125</v>
      </c>
      <c r="D36" t="s">
        <v>130</v>
      </c>
      <c r="E36" t="s">
        <v>28</v>
      </c>
      <c r="F36" t="s">
        <v>29</v>
      </c>
      <c r="G36" t="s">
        <v>53</v>
      </c>
      <c r="H36" s="1">
        <v>43151</v>
      </c>
      <c r="I36" s="5">
        <f>YEAR(Week_3_Employee_Data_CLEANED[[#This Row],[hire_date]])</f>
        <v>2018</v>
      </c>
      <c r="J36" s="1"/>
      <c r="K36" t="b">
        <v>1</v>
      </c>
      <c r="L36">
        <v>10227.02</v>
      </c>
      <c r="M36" t="s">
        <v>46</v>
      </c>
      <c r="N36" t="s">
        <v>57</v>
      </c>
      <c r="O36" t="s">
        <v>38</v>
      </c>
      <c r="P36" t="s">
        <v>39</v>
      </c>
      <c r="Q36">
        <v>1013</v>
      </c>
      <c r="R36" t="s">
        <v>60</v>
      </c>
    </row>
    <row r="37" spans="1:18" x14ac:dyDescent="0.25">
      <c r="A37">
        <v>1036</v>
      </c>
      <c r="B37" t="s">
        <v>25</v>
      </c>
      <c r="C37" t="s">
        <v>131</v>
      </c>
      <c r="D37" t="s">
        <v>132</v>
      </c>
      <c r="E37" t="s">
        <v>74</v>
      </c>
      <c r="F37" t="s">
        <v>44</v>
      </c>
      <c r="G37" t="s">
        <v>116</v>
      </c>
      <c r="H37" s="1">
        <v>42171</v>
      </c>
      <c r="I37" s="5">
        <f>YEAR(Week_3_Employee_Data_CLEANED[[#This Row],[hire_date]])</f>
        <v>2015</v>
      </c>
      <c r="J37" s="1"/>
      <c r="K37" t="b">
        <v>1</v>
      </c>
      <c r="L37">
        <v>27054.09</v>
      </c>
      <c r="M37" t="s">
        <v>46</v>
      </c>
      <c r="N37" t="s">
        <v>57</v>
      </c>
      <c r="O37" t="s">
        <v>48</v>
      </c>
      <c r="P37" t="s">
        <v>95</v>
      </c>
      <c r="R37" t="s">
        <v>40</v>
      </c>
    </row>
    <row r="38" spans="1:18" x14ac:dyDescent="0.25">
      <c r="A38">
        <v>1037</v>
      </c>
      <c r="B38" t="s">
        <v>122</v>
      </c>
      <c r="C38" t="s">
        <v>125</v>
      </c>
      <c r="D38" t="s">
        <v>133</v>
      </c>
      <c r="E38" t="s">
        <v>74</v>
      </c>
      <c r="F38" t="s">
        <v>44</v>
      </c>
      <c r="G38" t="s">
        <v>85</v>
      </c>
      <c r="H38" s="1">
        <v>43588</v>
      </c>
      <c r="I38" s="5">
        <f>YEAR(Week_3_Employee_Data_CLEANED[[#This Row],[hire_date]])</f>
        <v>2019</v>
      </c>
      <c r="J38" s="1"/>
      <c r="K38" t="b">
        <v>1</v>
      </c>
      <c r="L38">
        <v>20549.36</v>
      </c>
      <c r="M38" t="s">
        <v>31</v>
      </c>
      <c r="N38" t="s">
        <v>57</v>
      </c>
      <c r="O38" t="s">
        <v>34</v>
      </c>
      <c r="P38" t="s">
        <v>34</v>
      </c>
      <c r="Q38">
        <v>1016</v>
      </c>
      <c r="R38" t="s">
        <v>66</v>
      </c>
    </row>
    <row r="39" spans="1:18" x14ac:dyDescent="0.25">
      <c r="A39">
        <v>1038</v>
      </c>
      <c r="B39" t="s">
        <v>75</v>
      </c>
      <c r="C39" t="s">
        <v>50</v>
      </c>
      <c r="D39" t="s">
        <v>134</v>
      </c>
      <c r="E39" t="s">
        <v>84</v>
      </c>
      <c r="F39" t="s">
        <v>29</v>
      </c>
      <c r="G39" t="s">
        <v>80</v>
      </c>
      <c r="H39" s="1">
        <v>43978</v>
      </c>
      <c r="I39" s="5">
        <f>YEAR(Week_3_Employee_Data_CLEANED[[#This Row],[hire_date]])</f>
        <v>2020</v>
      </c>
      <c r="J39" s="1"/>
      <c r="K39" t="b">
        <v>1</v>
      </c>
      <c r="L39">
        <v>52543.71</v>
      </c>
      <c r="M39" t="s">
        <v>70</v>
      </c>
      <c r="N39" t="s">
        <v>57</v>
      </c>
      <c r="O39" t="s">
        <v>58</v>
      </c>
      <c r="P39" t="s">
        <v>34</v>
      </c>
      <c r="R39" t="s">
        <v>66</v>
      </c>
    </row>
    <row r="40" spans="1:18" x14ac:dyDescent="0.25">
      <c r="A40">
        <v>1039</v>
      </c>
      <c r="B40" t="s">
        <v>41</v>
      </c>
      <c r="C40" t="s">
        <v>42</v>
      </c>
      <c r="D40" t="s">
        <v>135</v>
      </c>
      <c r="E40" t="s">
        <v>28</v>
      </c>
      <c r="F40" t="s">
        <v>100</v>
      </c>
      <c r="G40" t="s">
        <v>103</v>
      </c>
      <c r="H40" s="1">
        <v>43045</v>
      </c>
      <c r="I40" s="5">
        <f>YEAR(Week_3_Employee_Data_CLEANED[[#This Row],[hire_date]])</f>
        <v>2017</v>
      </c>
      <c r="J40" s="1">
        <v>43577</v>
      </c>
      <c r="K40" t="b">
        <v>0</v>
      </c>
      <c r="L40">
        <v>56193.93</v>
      </c>
      <c r="M40" t="s">
        <v>70</v>
      </c>
      <c r="N40" t="s">
        <v>57</v>
      </c>
      <c r="O40" t="s">
        <v>48</v>
      </c>
      <c r="P40" t="s">
        <v>49</v>
      </c>
      <c r="Q40">
        <v>1015</v>
      </c>
      <c r="R40" t="s">
        <v>66</v>
      </c>
    </row>
    <row r="41" spans="1:18" x14ac:dyDescent="0.25">
      <c r="A41">
        <v>1040</v>
      </c>
      <c r="B41" t="s">
        <v>107</v>
      </c>
      <c r="C41" t="s">
        <v>62</v>
      </c>
      <c r="D41" t="s">
        <v>136</v>
      </c>
      <c r="E41" t="s">
        <v>74</v>
      </c>
      <c r="F41" t="s">
        <v>29</v>
      </c>
      <c r="G41" t="s">
        <v>97</v>
      </c>
      <c r="H41" s="1">
        <v>43047</v>
      </c>
      <c r="I41" s="5">
        <f>YEAR(Week_3_Employee_Data_CLEANED[[#This Row],[hire_date]])</f>
        <v>2017</v>
      </c>
      <c r="J41" s="1">
        <v>44683</v>
      </c>
      <c r="K41" t="b">
        <v>0</v>
      </c>
      <c r="L41">
        <v>31047.03</v>
      </c>
      <c r="M41" t="s">
        <v>46</v>
      </c>
      <c r="N41" t="s">
        <v>57</v>
      </c>
      <c r="O41" t="s">
        <v>38</v>
      </c>
      <c r="P41" t="s">
        <v>39</v>
      </c>
      <c r="Q41">
        <v>1039</v>
      </c>
      <c r="R41" t="s">
        <v>60</v>
      </c>
    </row>
    <row r="42" spans="1:18" x14ac:dyDescent="0.25">
      <c r="A42">
        <v>1041</v>
      </c>
      <c r="B42" t="s">
        <v>107</v>
      </c>
      <c r="C42" t="s">
        <v>131</v>
      </c>
      <c r="D42" t="s">
        <v>137</v>
      </c>
      <c r="E42" t="s">
        <v>84</v>
      </c>
      <c r="F42" t="s">
        <v>29</v>
      </c>
      <c r="G42" t="s">
        <v>45</v>
      </c>
      <c r="H42" s="1">
        <v>42051</v>
      </c>
      <c r="I42" s="5">
        <f>YEAR(Week_3_Employee_Data_CLEANED[[#This Row],[hire_date]])</f>
        <v>2015</v>
      </c>
      <c r="J42" s="1"/>
      <c r="K42" t="b">
        <v>0</v>
      </c>
      <c r="L42">
        <v>360710.40000000002</v>
      </c>
      <c r="M42" t="s">
        <v>46</v>
      </c>
      <c r="N42" t="s">
        <v>32</v>
      </c>
      <c r="O42" t="s">
        <v>58</v>
      </c>
      <c r="P42" t="s">
        <v>39</v>
      </c>
      <c r="Q42">
        <v>1036</v>
      </c>
      <c r="R42" t="s">
        <v>71</v>
      </c>
    </row>
    <row r="43" spans="1:18" x14ac:dyDescent="0.25">
      <c r="A43">
        <v>1042</v>
      </c>
      <c r="B43" t="s">
        <v>138</v>
      </c>
      <c r="C43" t="s">
        <v>26</v>
      </c>
      <c r="D43" t="s">
        <v>139</v>
      </c>
      <c r="E43" t="s">
        <v>84</v>
      </c>
      <c r="F43" t="s">
        <v>128</v>
      </c>
      <c r="G43" t="s">
        <v>80</v>
      </c>
      <c r="H43" s="1">
        <v>43284</v>
      </c>
      <c r="I43" s="5">
        <f>YEAR(Week_3_Employee_Data_CLEANED[[#This Row],[hire_date]])</f>
        <v>2018</v>
      </c>
      <c r="J43" s="1"/>
      <c r="K43" t="b">
        <v>1</v>
      </c>
      <c r="L43">
        <v>32840.160000000003</v>
      </c>
      <c r="M43" t="s">
        <v>70</v>
      </c>
      <c r="N43" t="s">
        <v>57</v>
      </c>
      <c r="O43" t="s">
        <v>58</v>
      </c>
      <c r="P43" t="s">
        <v>59</v>
      </c>
      <c r="Q43">
        <v>1001</v>
      </c>
      <c r="R43" t="s">
        <v>66</v>
      </c>
    </row>
    <row r="44" spans="1:18" x14ac:dyDescent="0.25">
      <c r="A44">
        <v>1043</v>
      </c>
      <c r="B44" t="s">
        <v>67</v>
      </c>
      <c r="C44" t="s">
        <v>72</v>
      </c>
      <c r="D44" t="s">
        <v>73</v>
      </c>
      <c r="E44" t="s">
        <v>28</v>
      </c>
      <c r="F44" t="s">
        <v>29</v>
      </c>
      <c r="G44" t="s">
        <v>80</v>
      </c>
      <c r="H44" s="1">
        <v>42216</v>
      </c>
      <c r="I44" s="5">
        <f>YEAR(Week_3_Employee_Data_CLEANED[[#This Row],[hire_date]])</f>
        <v>2015</v>
      </c>
      <c r="J44" s="1"/>
      <c r="K44" t="b">
        <v>1</v>
      </c>
      <c r="L44">
        <v>41816.74</v>
      </c>
      <c r="M44" t="s">
        <v>70</v>
      </c>
      <c r="N44" t="s">
        <v>47</v>
      </c>
      <c r="O44" t="s">
        <v>48</v>
      </c>
      <c r="P44" t="s">
        <v>95</v>
      </c>
      <c r="Q44">
        <v>1011</v>
      </c>
      <c r="R44" t="s">
        <v>66</v>
      </c>
    </row>
    <row r="45" spans="1:18" x14ac:dyDescent="0.25">
      <c r="A45">
        <v>1044</v>
      </c>
      <c r="B45" t="s">
        <v>140</v>
      </c>
      <c r="C45" t="s">
        <v>50</v>
      </c>
      <c r="D45" t="s">
        <v>141</v>
      </c>
      <c r="E45" t="s">
        <v>84</v>
      </c>
      <c r="F45" t="s">
        <v>52</v>
      </c>
      <c r="G45" t="s">
        <v>103</v>
      </c>
      <c r="H45" s="1">
        <v>42223</v>
      </c>
      <c r="I45" s="5">
        <f>YEAR(Week_3_Employee_Data_CLEANED[[#This Row],[hire_date]])</f>
        <v>2015</v>
      </c>
      <c r="J45" s="1">
        <v>43711</v>
      </c>
      <c r="K45" t="b">
        <v>0</v>
      </c>
      <c r="L45">
        <v>25965.95</v>
      </c>
      <c r="M45" t="s">
        <v>70</v>
      </c>
      <c r="N45" t="s">
        <v>57</v>
      </c>
      <c r="O45" t="s">
        <v>34</v>
      </c>
      <c r="P45" t="s">
        <v>34</v>
      </c>
      <c r="Q45">
        <v>1031</v>
      </c>
      <c r="R45" t="s">
        <v>71</v>
      </c>
    </row>
    <row r="46" spans="1:18" x14ac:dyDescent="0.25">
      <c r="A46">
        <v>1045</v>
      </c>
      <c r="B46" t="s">
        <v>81</v>
      </c>
      <c r="C46" t="s">
        <v>89</v>
      </c>
      <c r="D46" t="s">
        <v>142</v>
      </c>
      <c r="E46" t="s">
        <v>74</v>
      </c>
      <c r="F46" t="s">
        <v>44</v>
      </c>
      <c r="G46" t="s">
        <v>45</v>
      </c>
      <c r="H46" s="1">
        <v>42173</v>
      </c>
      <c r="I46" s="5">
        <f>YEAR(Week_3_Employee_Data_CLEANED[[#This Row],[hire_date]])</f>
        <v>2015</v>
      </c>
      <c r="J46" s="1"/>
      <c r="K46" t="b">
        <v>0</v>
      </c>
      <c r="L46">
        <v>14499.93</v>
      </c>
      <c r="M46" t="s">
        <v>31</v>
      </c>
      <c r="N46" t="s">
        <v>57</v>
      </c>
      <c r="O46" t="s">
        <v>58</v>
      </c>
      <c r="P46" t="s">
        <v>59</v>
      </c>
      <c r="Q46">
        <v>1016</v>
      </c>
      <c r="R46" t="s">
        <v>66</v>
      </c>
    </row>
    <row r="47" spans="1:18" x14ac:dyDescent="0.25">
      <c r="A47">
        <v>1046</v>
      </c>
      <c r="B47" t="s">
        <v>88</v>
      </c>
      <c r="C47" t="s">
        <v>68</v>
      </c>
      <c r="D47" t="s">
        <v>143</v>
      </c>
      <c r="E47" t="s">
        <v>84</v>
      </c>
      <c r="F47" t="s">
        <v>52</v>
      </c>
      <c r="G47" t="s">
        <v>85</v>
      </c>
      <c r="H47" s="1">
        <v>42740</v>
      </c>
      <c r="I47" s="5">
        <f>YEAR(Week_3_Employee_Data_CLEANED[[#This Row],[hire_date]])</f>
        <v>2017</v>
      </c>
      <c r="J47" s="1">
        <v>43504</v>
      </c>
      <c r="K47" t="b">
        <v>0</v>
      </c>
      <c r="L47">
        <v>13362.82</v>
      </c>
      <c r="M47" t="s">
        <v>70</v>
      </c>
      <c r="N47" t="s">
        <v>47</v>
      </c>
      <c r="O47" t="s">
        <v>33</v>
      </c>
      <c r="P47" t="s">
        <v>49</v>
      </c>
      <c r="Q47">
        <v>1021</v>
      </c>
      <c r="R47" t="s">
        <v>71</v>
      </c>
    </row>
    <row r="48" spans="1:18" x14ac:dyDescent="0.25">
      <c r="A48">
        <v>1047</v>
      </c>
      <c r="B48" t="s">
        <v>107</v>
      </c>
      <c r="C48" t="s">
        <v>50</v>
      </c>
      <c r="D48" t="s">
        <v>144</v>
      </c>
      <c r="E48" t="s">
        <v>84</v>
      </c>
      <c r="F48" t="s">
        <v>44</v>
      </c>
      <c r="G48" t="s">
        <v>53</v>
      </c>
      <c r="H48" s="1">
        <v>42828</v>
      </c>
      <c r="I48" s="5">
        <f>YEAR(Week_3_Employee_Data_CLEANED[[#This Row],[hire_date]])</f>
        <v>2017</v>
      </c>
      <c r="J48" s="1"/>
      <c r="K48" t="b">
        <v>0</v>
      </c>
      <c r="L48">
        <v>39597.46</v>
      </c>
      <c r="M48" t="s">
        <v>31</v>
      </c>
      <c r="N48" t="s">
        <v>47</v>
      </c>
      <c r="O48" t="s">
        <v>38</v>
      </c>
      <c r="P48" t="s">
        <v>34</v>
      </c>
      <c r="Q48">
        <v>1017</v>
      </c>
      <c r="R48" t="s">
        <v>40</v>
      </c>
    </row>
    <row r="49" spans="1:18" x14ac:dyDescent="0.25">
      <c r="A49">
        <v>1048</v>
      </c>
      <c r="B49" t="s">
        <v>145</v>
      </c>
      <c r="C49" t="s">
        <v>72</v>
      </c>
      <c r="D49" t="s">
        <v>146</v>
      </c>
      <c r="E49" t="s">
        <v>28</v>
      </c>
      <c r="F49" t="s">
        <v>100</v>
      </c>
      <c r="G49" t="s">
        <v>30</v>
      </c>
      <c r="H49" s="1">
        <v>42977</v>
      </c>
      <c r="I49" s="5">
        <f>YEAR(Week_3_Employee_Data_CLEANED[[#This Row],[hire_date]])</f>
        <v>2017</v>
      </c>
      <c r="J49" s="1">
        <v>43337</v>
      </c>
      <c r="K49" t="b">
        <v>0</v>
      </c>
      <c r="L49">
        <v>61971.14</v>
      </c>
      <c r="M49" t="s">
        <v>46</v>
      </c>
      <c r="N49" t="s">
        <v>32</v>
      </c>
      <c r="O49" t="s">
        <v>38</v>
      </c>
      <c r="P49" t="s">
        <v>39</v>
      </c>
      <c r="Q49">
        <v>1024</v>
      </c>
      <c r="R49" t="s">
        <v>34</v>
      </c>
    </row>
    <row r="50" spans="1:18" x14ac:dyDescent="0.25">
      <c r="A50">
        <v>1049</v>
      </c>
      <c r="B50" t="s">
        <v>88</v>
      </c>
      <c r="C50" t="s">
        <v>42</v>
      </c>
      <c r="D50" t="s">
        <v>147</v>
      </c>
      <c r="E50" t="s">
        <v>84</v>
      </c>
      <c r="F50" t="s">
        <v>128</v>
      </c>
      <c r="G50" t="s">
        <v>65</v>
      </c>
      <c r="H50" s="1">
        <v>43480</v>
      </c>
      <c r="I50" s="5">
        <f>YEAR(Week_3_Employee_Data_CLEANED[[#This Row],[hire_date]])</f>
        <v>2019</v>
      </c>
      <c r="J50" s="1">
        <v>44770</v>
      </c>
      <c r="K50" t="b">
        <v>0</v>
      </c>
      <c r="L50">
        <v>38232.94</v>
      </c>
      <c r="M50" t="s">
        <v>31</v>
      </c>
      <c r="N50" t="s">
        <v>57</v>
      </c>
      <c r="O50" t="s">
        <v>38</v>
      </c>
      <c r="P50" t="s">
        <v>39</v>
      </c>
      <c r="Q50">
        <v>1015</v>
      </c>
      <c r="R50" t="s">
        <v>66</v>
      </c>
    </row>
    <row r="51" spans="1:18" x14ac:dyDescent="0.25">
      <c r="A51">
        <v>1050</v>
      </c>
      <c r="B51" t="s">
        <v>86</v>
      </c>
      <c r="C51" t="s">
        <v>89</v>
      </c>
      <c r="D51" t="s">
        <v>148</v>
      </c>
      <c r="E51" t="s">
        <v>84</v>
      </c>
      <c r="F51" t="s">
        <v>64</v>
      </c>
      <c r="G51" t="s">
        <v>80</v>
      </c>
      <c r="H51" s="1">
        <v>42039</v>
      </c>
      <c r="I51" s="5">
        <f>YEAR(Week_3_Employee_Data_CLEANED[[#This Row],[hire_date]])</f>
        <v>2015</v>
      </c>
      <c r="J51" s="1"/>
      <c r="K51" t="b">
        <v>0</v>
      </c>
      <c r="L51">
        <v>28704.74</v>
      </c>
      <c r="M51" t="s">
        <v>31</v>
      </c>
      <c r="N51" t="s">
        <v>57</v>
      </c>
      <c r="O51" t="s">
        <v>33</v>
      </c>
      <c r="P51" t="s">
        <v>49</v>
      </c>
      <c r="Q51">
        <v>1040</v>
      </c>
      <c r="R51" t="s">
        <v>60</v>
      </c>
    </row>
    <row r="52" spans="1:18" x14ac:dyDescent="0.25">
      <c r="A52">
        <v>1051</v>
      </c>
      <c r="B52" t="s">
        <v>114</v>
      </c>
      <c r="C52" t="s">
        <v>50</v>
      </c>
      <c r="D52" t="s">
        <v>149</v>
      </c>
      <c r="E52" t="s">
        <v>84</v>
      </c>
      <c r="F52" t="s">
        <v>29</v>
      </c>
      <c r="G52" t="s">
        <v>97</v>
      </c>
      <c r="H52" s="1">
        <v>43651</v>
      </c>
      <c r="I52" s="5">
        <f>YEAR(Week_3_Employee_Data_CLEANED[[#This Row],[hire_date]])</f>
        <v>2019</v>
      </c>
      <c r="J52" s="1">
        <v>45362</v>
      </c>
      <c r="K52" t="b">
        <v>0</v>
      </c>
      <c r="L52">
        <v>57944.23</v>
      </c>
      <c r="M52" t="s">
        <v>31</v>
      </c>
      <c r="N52" t="s">
        <v>54</v>
      </c>
      <c r="O52" t="s">
        <v>33</v>
      </c>
      <c r="P52" t="s">
        <v>49</v>
      </c>
      <c r="R52" t="s">
        <v>71</v>
      </c>
    </row>
    <row r="53" spans="1:18" x14ac:dyDescent="0.25">
      <c r="A53">
        <v>1052</v>
      </c>
      <c r="B53" t="s">
        <v>81</v>
      </c>
      <c r="C53" t="s">
        <v>26</v>
      </c>
      <c r="D53" t="s">
        <v>150</v>
      </c>
      <c r="E53" t="s">
        <v>28</v>
      </c>
      <c r="F53" t="s">
        <v>52</v>
      </c>
      <c r="G53" t="s">
        <v>45</v>
      </c>
      <c r="H53" s="1">
        <v>42587</v>
      </c>
      <c r="I53" s="5">
        <f>YEAR(Week_3_Employee_Data_CLEANED[[#This Row],[hire_date]])</f>
        <v>2016</v>
      </c>
      <c r="J53" s="1"/>
      <c r="K53" t="b">
        <v>0</v>
      </c>
      <c r="L53">
        <v>37847.620000000003</v>
      </c>
      <c r="M53" t="s">
        <v>46</v>
      </c>
      <c r="N53" t="s">
        <v>47</v>
      </c>
      <c r="O53" t="s">
        <v>34</v>
      </c>
      <c r="P53" t="s">
        <v>34</v>
      </c>
      <c r="R53" t="s">
        <v>66</v>
      </c>
    </row>
    <row r="54" spans="1:18" x14ac:dyDescent="0.25">
      <c r="A54">
        <v>1053</v>
      </c>
      <c r="B54" t="s">
        <v>77</v>
      </c>
      <c r="C54" t="s">
        <v>82</v>
      </c>
      <c r="D54" t="s">
        <v>151</v>
      </c>
      <c r="E54" t="s">
        <v>84</v>
      </c>
      <c r="F54" t="s">
        <v>64</v>
      </c>
      <c r="G54" t="s">
        <v>80</v>
      </c>
      <c r="H54" s="1">
        <v>42509</v>
      </c>
      <c r="I54" s="5">
        <f>YEAR(Week_3_Employee_Data_CLEANED[[#This Row],[hire_date]])</f>
        <v>2016</v>
      </c>
      <c r="J54" s="1"/>
      <c r="K54" t="b">
        <v>0</v>
      </c>
      <c r="L54">
        <v>36217.21</v>
      </c>
      <c r="M54" t="s">
        <v>46</v>
      </c>
      <c r="N54" t="s">
        <v>54</v>
      </c>
      <c r="O54" t="s">
        <v>48</v>
      </c>
      <c r="P54" t="s">
        <v>95</v>
      </c>
      <c r="Q54">
        <v>1014</v>
      </c>
      <c r="R54" t="s">
        <v>71</v>
      </c>
    </row>
    <row r="55" spans="1:18" x14ac:dyDescent="0.25">
      <c r="A55">
        <v>1054</v>
      </c>
      <c r="B55" t="s">
        <v>55</v>
      </c>
      <c r="C55" t="s">
        <v>125</v>
      </c>
      <c r="D55" t="s">
        <v>152</v>
      </c>
      <c r="E55" t="s">
        <v>28</v>
      </c>
      <c r="F55" t="s">
        <v>128</v>
      </c>
      <c r="G55" t="s">
        <v>103</v>
      </c>
      <c r="H55" s="1">
        <v>44467</v>
      </c>
      <c r="I55" s="5">
        <f>YEAR(Week_3_Employee_Data_CLEANED[[#This Row],[hire_date]])</f>
        <v>2021</v>
      </c>
      <c r="J55" s="1"/>
      <c r="K55" t="b">
        <v>0</v>
      </c>
      <c r="L55">
        <v>38030.93</v>
      </c>
      <c r="M55" t="s">
        <v>70</v>
      </c>
      <c r="N55" t="s">
        <v>57</v>
      </c>
      <c r="O55" t="s">
        <v>33</v>
      </c>
      <c r="P55" t="s">
        <v>49</v>
      </c>
      <c r="Q55">
        <v>1020</v>
      </c>
      <c r="R55" t="s">
        <v>34</v>
      </c>
    </row>
    <row r="56" spans="1:18" x14ac:dyDescent="0.25">
      <c r="A56">
        <v>1055</v>
      </c>
      <c r="B56" t="s">
        <v>35</v>
      </c>
      <c r="C56" t="s">
        <v>62</v>
      </c>
      <c r="D56" t="s">
        <v>153</v>
      </c>
      <c r="E56" t="s">
        <v>28</v>
      </c>
      <c r="F56" t="s">
        <v>64</v>
      </c>
      <c r="G56" t="s">
        <v>65</v>
      </c>
      <c r="H56" s="1">
        <v>43417</v>
      </c>
      <c r="I56" s="5">
        <f>YEAR(Week_3_Employee_Data_CLEANED[[#This Row],[hire_date]])</f>
        <v>2018</v>
      </c>
      <c r="J56" s="1">
        <v>43730</v>
      </c>
      <c r="K56" t="b">
        <v>0</v>
      </c>
      <c r="L56">
        <v>33411.47</v>
      </c>
      <c r="M56" t="s">
        <v>70</v>
      </c>
      <c r="N56" t="s">
        <v>57</v>
      </c>
      <c r="O56" t="s">
        <v>33</v>
      </c>
      <c r="P56" t="s">
        <v>34</v>
      </c>
      <c r="R56" t="s">
        <v>66</v>
      </c>
    </row>
    <row r="57" spans="1:18" x14ac:dyDescent="0.25">
      <c r="A57">
        <v>1056</v>
      </c>
      <c r="B57" t="s">
        <v>67</v>
      </c>
      <c r="C57" t="s">
        <v>78</v>
      </c>
      <c r="D57" t="s">
        <v>154</v>
      </c>
      <c r="E57" t="s">
        <v>74</v>
      </c>
      <c r="F57" t="s">
        <v>44</v>
      </c>
      <c r="G57" t="s">
        <v>53</v>
      </c>
      <c r="H57" s="1">
        <v>44591</v>
      </c>
      <c r="I57" s="5">
        <f>YEAR(Week_3_Employee_Data_CLEANED[[#This Row],[hire_date]])</f>
        <v>2022</v>
      </c>
      <c r="J57" s="1">
        <v>46242</v>
      </c>
      <c r="K57" t="b">
        <v>0</v>
      </c>
      <c r="L57">
        <v>31286.28</v>
      </c>
      <c r="M57" t="s">
        <v>70</v>
      </c>
      <c r="N57" t="s">
        <v>57</v>
      </c>
      <c r="O57" t="s">
        <v>48</v>
      </c>
      <c r="P57" t="s">
        <v>95</v>
      </c>
      <c r="Q57">
        <v>1049</v>
      </c>
      <c r="R57" t="s">
        <v>34</v>
      </c>
    </row>
    <row r="58" spans="1:18" x14ac:dyDescent="0.25">
      <c r="A58">
        <v>1057</v>
      </c>
      <c r="B58" t="s">
        <v>88</v>
      </c>
      <c r="C58" t="s">
        <v>68</v>
      </c>
      <c r="D58" t="s">
        <v>155</v>
      </c>
      <c r="E58" t="s">
        <v>28</v>
      </c>
      <c r="F58" t="s">
        <v>44</v>
      </c>
      <c r="G58" t="s">
        <v>53</v>
      </c>
      <c r="H58" s="1">
        <v>43425</v>
      </c>
      <c r="I58" s="5">
        <f>YEAR(Week_3_Employee_Data_CLEANED[[#This Row],[hire_date]])</f>
        <v>2018</v>
      </c>
      <c r="J58" s="1"/>
      <c r="K58" t="b">
        <v>1</v>
      </c>
      <c r="L58">
        <v>17780.439999999999</v>
      </c>
      <c r="M58" t="s">
        <v>31</v>
      </c>
      <c r="N58" t="s">
        <v>47</v>
      </c>
      <c r="O58" t="s">
        <v>48</v>
      </c>
      <c r="P58" t="s">
        <v>34</v>
      </c>
      <c r="R58" t="s">
        <v>71</v>
      </c>
    </row>
    <row r="59" spans="1:18" x14ac:dyDescent="0.25">
      <c r="A59">
        <v>1058</v>
      </c>
      <c r="B59" t="s">
        <v>140</v>
      </c>
      <c r="C59" t="s">
        <v>82</v>
      </c>
      <c r="D59" t="s">
        <v>156</v>
      </c>
      <c r="E59" t="s">
        <v>28</v>
      </c>
      <c r="F59" t="s">
        <v>29</v>
      </c>
      <c r="G59" t="s">
        <v>97</v>
      </c>
      <c r="H59" s="1">
        <v>42884</v>
      </c>
      <c r="I59" s="5">
        <f>YEAR(Week_3_Employee_Data_CLEANED[[#This Row],[hire_date]])</f>
        <v>2017</v>
      </c>
      <c r="J59" s="1">
        <v>44217</v>
      </c>
      <c r="K59" t="b">
        <v>0</v>
      </c>
      <c r="L59">
        <v>41019.49</v>
      </c>
      <c r="M59" t="s">
        <v>70</v>
      </c>
      <c r="N59" t="s">
        <v>57</v>
      </c>
      <c r="O59" t="s">
        <v>48</v>
      </c>
      <c r="P59" t="s">
        <v>39</v>
      </c>
      <c r="Q59">
        <v>1026</v>
      </c>
      <c r="R59" t="s">
        <v>66</v>
      </c>
    </row>
    <row r="60" spans="1:18" x14ac:dyDescent="0.25">
      <c r="A60">
        <v>1059</v>
      </c>
      <c r="B60" t="s">
        <v>145</v>
      </c>
      <c r="C60" t="s">
        <v>101</v>
      </c>
      <c r="D60" t="s">
        <v>157</v>
      </c>
      <c r="E60" t="s">
        <v>84</v>
      </c>
      <c r="F60" t="s">
        <v>52</v>
      </c>
      <c r="G60" t="s">
        <v>30</v>
      </c>
      <c r="H60" s="1">
        <v>42705</v>
      </c>
      <c r="I60" s="5">
        <f>YEAR(Week_3_Employee_Data_CLEANED[[#This Row],[hire_date]])</f>
        <v>2016</v>
      </c>
      <c r="J60" s="1">
        <v>43678</v>
      </c>
      <c r="K60" t="b">
        <v>0</v>
      </c>
      <c r="L60">
        <v>33862.69</v>
      </c>
      <c r="M60" t="s">
        <v>70</v>
      </c>
      <c r="N60" t="s">
        <v>57</v>
      </c>
      <c r="O60" t="s">
        <v>48</v>
      </c>
      <c r="P60" t="s">
        <v>95</v>
      </c>
      <c r="Q60">
        <v>1056</v>
      </c>
      <c r="R60" t="s">
        <v>40</v>
      </c>
    </row>
    <row r="61" spans="1:18" x14ac:dyDescent="0.25">
      <c r="A61">
        <v>1060</v>
      </c>
      <c r="B61" t="s">
        <v>55</v>
      </c>
      <c r="C61" t="s">
        <v>68</v>
      </c>
      <c r="D61" t="s">
        <v>158</v>
      </c>
      <c r="E61" t="s">
        <v>28</v>
      </c>
      <c r="F61" t="s">
        <v>64</v>
      </c>
      <c r="G61" t="s">
        <v>45</v>
      </c>
      <c r="H61" s="1">
        <v>44084</v>
      </c>
      <c r="I61" s="5">
        <f>YEAR(Week_3_Employee_Data_CLEANED[[#This Row],[hire_date]])</f>
        <v>2020</v>
      </c>
      <c r="J61" s="1"/>
      <c r="K61" t="b">
        <v>1</v>
      </c>
      <c r="L61">
        <v>49317.03</v>
      </c>
      <c r="M61" t="s">
        <v>31</v>
      </c>
      <c r="N61" t="s">
        <v>54</v>
      </c>
      <c r="O61" t="s">
        <v>48</v>
      </c>
      <c r="P61" t="s">
        <v>49</v>
      </c>
      <c r="Q61">
        <v>1013</v>
      </c>
      <c r="R61" t="s">
        <v>60</v>
      </c>
    </row>
    <row r="62" spans="1:18" x14ac:dyDescent="0.25">
      <c r="A62">
        <v>1061</v>
      </c>
      <c r="B62" t="s">
        <v>104</v>
      </c>
      <c r="C62" t="s">
        <v>62</v>
      </c>
      <c r="D62" t="s">
        <v>159</v>
      </c>
      <c r="E62" t="s">
        <v>28</v>
      </c>
      <c r="F62" t="s">
        <v>44</v>
      </c>
      <c r="G62" t="s">
        <v>97</v>
      </c>
      <c r="H62" s="1">
        <v>43786</v>
      </c>
      <c r="I62" s="5">
        <f>YEAR(Week_3_Employee_Data_CLEANED[[#This Row],[hire_date]])</f>
        <v>2019</v>
      </c>
      <c r="J62" s="1"/>
      <c r="K62" t="b">
        <v>0</v>
      </c>
      <c r="L62">
        <v>30574.18</v>
      </c>
      <c r="M62" t="s">
        <v>46</v>
      </c>
      <c r="N62" t="s">
        <v>57</v>
      </c>
      <c r="O62" t="s">
        <v>33</v>
      </c>
      <c r="P62" t="s">
        <v>49</v>
      </c>
      <c r="Q62">
        <v>1041</v>
      </c>
      <c r="R62" t="s">
        <v>60</v>
      </c>
    </row>
    <row r="63" spans="1:18" x14ac:dyDescent="0.25">
      <c r="A63">
        <v>1062</v>
      </c>
      <c r="B63" t="s">
        <v>122</v>
      </c>
      <c r="C63" t="s">
        <v>42</v>
      </c>
      <c r="D63" t="s">
        <v>160</v>
      </c>
      <c r="E63" t="s">
        <v>28</v>
      </c>
      <c r="F63" t="s">
        <v>64</v>
      </c>
      <c r="G63" t="s">
        <v>116</v>
      </c>
      <c r="H63" s="1">
        <v>42941</v>
      </c>
      <c r="I63" s="5">
        <f>YEAR(Week_3_Employee_Data_CLEANED[[#This Row],[hire_date]])</f>
        <v>2017</v>
      </c>
      <c r="J63" s="1"/>
      <c r="K63" t="b">
        <v>1</v>
      </c>
      <c r="L63">
        <v>12123.56</v>
      </c>
      <c r="M63" t="s">
        <v>46</v>
      </c>
      <c r="N63" t="s">
        <v>57</v>
      </c>
      <c r="O63" t="s">
        <v>34</v>
      </c>
      <c r="P63" t="s">
        <v>34</v>
      </c>
      <c r="Q63">
        <v>1027</v>
      </c>
      <c r="R63" t="s">
        <v>60</v>
      </c>
    </row>
    <row r="64" spans="1:18" x14ac:dyDescent="0.25">
      <c r="A64">
        <v>1063</v>
      </c>
      <c r="B64" t="s">
        <v>122</v>
      </c>
      <c r="C64" t="s">
        <v>72</v>
      </c>
      <c r="D64" t="s">
        <v>161</v>
      </c>
      <c r="E64" t="s">
        <v>84</v>
      </c>
      <c r="F64" t="s">
        <v>128</v>
      </c>
      <c r="G64" t="s">
        <v>30</v>
      </c>
      <c r="H64" s="1">
        <v>44770</v>
      </c>
      <c r="I64" s="5">
        <f>YEAR(Week_3_Employee_Data_CLEANED[[#This Row],[hire_date]])</f>
        <v>2022</v>
      </c>
      <c r="J64" s="1"/>
      <c r="K64" t="b">
        <v>0</v>
      </c>
      <c r="L64">
        <v>33804.67</v>
      </c>
      <c r="M64" t="s">
        <v>70</v>
      </c>
      <c r="N64" t="s">
        <v>47</v>
      </c>
      <c r="O64" t="s">
        <v>48</v>
      </c>
      <c r="P64" t="s">
        <v>110</v>
      </c>
      <c r="Q64">
        <v>1046</v>
      </c>
      <c r="R64" t="s">
        <v>34</v>
      </c>
    </row>
    <row r="65" spans="1:18" x14ac:dyDescent="0.25">
      <c r="A65">
        <v>1064</v>
      </c>
      <c r="B65" t="s">
        <v>75</v>
      </c>
      <c r="C65" t="s">
        <v>62</v>
      </c>
      <c r="D65" t="s">
        <v>162</v>
      </c>
      <c r="E65" t="s">
        <v>28</v>
      </c>
      <c r="F65" t="s">
        <v>128</v>
      </c>
      <c r="G65" t="s">
        <v>30</v>
      </c>
      <c r="H65" s="1">
        <v>43409</v>
      </c>
      <c r="I65" s="5">
        <f>YEAR(Week_3_Employee_Data_CLEANED[[#This Row],[hire_date]])</f>
        <v>2018</v>
      </c>
      <c r="J65" s="1">
        <v>44840</v>
      </c>
      <c r="K65" t="b">
        <v>0</v>
      </c>
      <c r="L65">
        <v>55394.45</v>
      </c>
      <c r="M65" t="s">
        <v>31</v>
      </c>
      <c r="N65" t="s">
        <v>57</v>
      </c>
      <c r="O65" t="s">
        <v>38</v>
      </c>
      <c r="P65" t="s">
        <v>39</v>
      </c>
      <c r="Q65">
        <v>1025</v>
      </c>
      <c r="R65" t="s">
        <v>71</v>
      </c>
    </row>
    <row r="66" spans="1:18" x14ac:dyDescent="0.25">
      <c r="A66">
        <v>1065</v>
      </c>
      <c r="B66" t="s">
        <v>86</v>
      </c>
      <c r="C66" t="s">
        <v>36</v>
      </c>
      <c r="D66" t="s">
        <v>163</v>
      </c>
      <c r="E66" t="s">
        <v>84</v>
      </c>
      <c r="F66" t="s">
        <v>128</v>
      </c>
      <c r="G66" t="s">
        <v>30</v>
      </c>
      <c r="H66" s="1">
        <v>42901</v>
      </c>
      <c r="I66" s="5">
        <f>YEAR(Week_3_Employee_Data_CLEANED[[#This Row],[hire_date]])</f>
        <v>2017</v>
      </c>
      <c r="J66" s="1"/>
      <c r="K66" t="b">
        <v>1</v>
      </c>
      <c r="L66">
        <v>30398.92</v>
      </c>
      <c r="M66" t="s">
        <v>31</v>
      </c>
      <c r="N66" t="s">
        <v>47</v>
      </c>
      <c r="O66" t="s">
        <v>58</v>
      </c>
      <c r="P66" t="s">
        <v>34</v>
      </c>
      <c r="Q66">
        <v>1029</v>
      </c>
      <c r="R66" t="s">
        <v>40</v>
      </c>
    </row>
    <row r="67" spans="1:18" x14ac:dyDescent="0.25">
      <c r="A67">
        <v>1066</v>
      </c>
      <c r="B67" t="s">
        <v>104</v>
      </c>
      <c r="C67" t="s">
        <v>101</v>
      </c>
      <c r="D67" t="s">
        <v>164</v>
      </c>
      <c r="E67" t="s">
        <v>84</v>
      </c>
      <c r="F67" t="s">
        <v>52</v>
      </c>
      <c r="G67" t="s">
        <v>103</v>
      </c>
      <c r="H67" s="1">
        <v>42948</v>
      </c>
      <c r="I67" s="5">
        <f>YEAR(Week_3_Employee_Data_CLEANED[[#This Row],[hire_date]])</f>
        <v>2017</v>
      </c>
      <c r="J67" s="1"/>
      <c r="K67" t="b">
        <v>0</v>
      </c>
      <c r="L67">
        <v>24321.72</v>
      </c>
      <c r="M67" t="s">
        <v>46</v>
      </c>
      <c r="N67" t="s">
        <v>57</v>
      </c>
      <c r="O67" t="s">
        <v>33</v>
      </c>
      <c r="P67" t="s">
        <v>34</v>
      </c>
      <c r="Q67">
        <v>1062</v>
      </c>
      <c r="R67" t="s">
        <v>71</v>
      </c>
    </row>
    <row r="68" spans="1:18" x14ac:dyDescent="0.25">
      <c r="A68">
        <v>1067</v>
      </c>
      <c r="B68" t="s">
        <v>104</v>
      </c>
      <c r="C68" t="s">
        <v>131</v>
      </c>
      <c r="D68" t="s">
        <v>165</v>
      </c>
      <c r="E68" t="s">
        <v>28</v>
      </c>
      <c r="F68" t="s">
        <v>64</v>
      </c>
      <c r="G68" t="s">
        <v>103</v>
      </c>
      <c r="H68" s="1">
        <v>42580</v>
      </c>
      <c r="I68" s="5">
        <f>YEAR(Week_3_Employee_Data_CLEANED[[#This Row],[hire_date]])</f>
        <v>2016</v>
      </c>
      <c r="J68" s="1"/>
      <c r="K68" t="b">
        <v>1</v>
      </c>
      <c r="L68">
        <v>20676.900000000001</v>
      </c>
      <c r="M68" t="s">
        <v>31</v>
      </c>
      <c r="N68" t="s">
        <v>32</v>
      </c>
      <c r="O68" t="s">
        <v>33</v>
      </c>
      <c r="P68" t="s">
        <v>49</v>
      </c>
      <c r="R68" t="s">
        <v>40</v>
      </c>
    </row>
    <row r="69" spans="1:18" x14ac:dyDescent="0.25">
      <c r="A69">
        <v>1068</v>
      </c>
      <c r="B69" t="s">
        <v>166</v>
      </c>
      <c r="C69" t="s">
        <v>26</v>
      </c>
      <c r="D69" t="s">
        <v>167</v>
      </c>
      <c r="E69" t="s">
        <v>84</v>
      </c>
      <c r="F69" t="s">
        <v>52</v>
      </c>
      <c r="G69" t="s">
        <v>97</v>
      </c>
      <c r="H69" s="1">
        <v>42813</v>
      </c>
      <c r="I69" s="5">
        <f>YEAR(Week_3_Employee_Data_CLEANED[[#This Row],[hire_date]])</f>
        <v>2017</v>
      </c>
      <c r="J69" s="1">
        <v>44561</v>
      </c>
      <c r="K69" t="b">
        <v>0</v>
      </c>
      <c r="L69">
        <v>22399.8</v>
      </c>
      <c r="M69" t="s">
        <v>70</v>
      </c>
      <c r="N69" t="s">
        <v>47</v>
      </c>
      <c r="O69" t="s">
        <v>58</v>
      </c>
      <c r="P69" t="s">
        <v>59</v>
      </c>
      <c r="Q69">
        <v>1062</v>
      </c>
      <c r="R69" t="s">
        <v>66</v>
      </c>
    </row>
    <row r="70" spans="1:18" x14ac:dyDescent="0.25">
      <c r="A70">
        <v>1069</v>
      </c>
      <c r="B70" t="s">
        <v>120</v>
      </c>
      <c r="C70" t="s">
        <v>68</v>
      </c>
      <c r="D70" t="s">
        <v>168</v>
      </c>
      <c r="E70" t="s">
        <v>28</v>
      </c>
      <c r="F70" t="s">
        <v>64</v>
      </c>
      <c r="G70" t="s">
        <v>85</v>
      </c>
      <c r="H70" s="1">
        <v>44730</v>
      </c>
      <c r="I70" s="5">
        <f>YEAR(Week_3_Employee_Data_CLEANED[[#This Row],[hire_date]])</f>
        <v>2022</v>
      </c>
      <c r="J70" s="1"/>
      <c r="K70" t="b">
        <v>1</v>
      </c>
      <c r="L70">
        <v>31397.68</v>
      </c>
      <c r="M70" t="s">
        <v>70</v>
      </c>
      <c r="N70" t="s">
        <v>47</v>
      </c>
      <c r="O70" t="s">
        <v>34</v>
      </c>
      <c r="P70" t="s">
        <v>34</v>
      </c>
      <c r="R70" t="s">
        <v>34</v>
      </c>
    </row>
    <row r="71" spans="1:18" x14ac:dyDescent="0.25">
      <c r="A71">
        <v>1070</v>
      </c>
      <c r="B71" t="s">
        <v>140</v>
      </c>
      <c r="C71" t="s">
        <v>68</v>
      </c>
      <c r="D71" t="s">
        <v>169</v>
      </c>
      <c r="E71" t="s">
        <v>84</v>
      </c>
      <c r="F71" t="s">
        <v>128</v>
      </c>
      <c r="G71" t="s">
        <v>53</v>
      </c>
      <c r="H71" s="1">
        <v>44704</v>
      </c>
      <c r="I71" s="5">
        <f>YEAR(Week_3_Employee_Data_CLEANED[[#This Row],[hire_date]])</f>
        <v>2022</v>
      </c>
      <c r="J71" s="1"/>
      <c r="K71" t="b">
        <v>1</v>
      </c>
      <c r="L71">
        <v>20840.21</v>
      </c>
      <c r="M71" t="s">
        <v>70</v>
      </c>
      <c r="N71" t="s">
        <v>57</v>
      </c>
      <c r="O71" t="s">
        <v>48</v>
      </c>
      <c r="P71" t="s">
        <v>95</v>
      </c>
      <c r="R71" t="s">
        <v>40</v>
      </c>
    </row>
    <row r="72" spans="1:18" x14ac:dyDescent="0.25">
      <c r="A72">
        <v>1071</v>
      </c>
      <c r="B72" t="s">
        <v>170</v>
      </c>
      <c r="C72" t="s">
        <v>89</v>
      </c>
      <c r="D72" t="s">
        <v>171</v>
      </c>
      <c r="E72" t="s">
        <v>28</v>
      </c>
      <c r="F72" t="s">
        <v>128</v>
      </c>
      <c r="G72" t="s">
        <v>97</v>
      </c>
      <c r="H72" s="1">
        <v>42527</v>
      </c>
      <c r="I72" s="5">
        <f>YEAR(Week_3_Employee_Data_CLEANED[[#This Row],[hire_date]])</f>
        <v>2016</v>
      </c>
      <c r="J72" s="1"/>
      <c r="K72" t="b">
        <v>1</v>
      </c>
      <c r="L72">
        <v>52971.67</v>
      </c>
      <c r="M72" t="s">
        <v>31</v>
      </c>
      <c r="N72" t="s">
        <v>47</v>
      </c>
      <c r="O72" t="s">
        <v>58</v>
      </c>
      <c r="P72" t="s">
        <v>95</v>
      </c>
      <c r="Q72">
        <v>1006</v>
      </c>
      <c r="R72" t="s">
        <v>34</v>
      </c>
    </row>
    <row r="73" spans="1:18" x14ac:dyDescent="0.25">
      <c r="A73">
        <v>1072</v>
      </c>
      <c r="B73" t="s">
        <v>172</v>
      </c>
      <c r="C73" t="s">
        <v>101</v>
      </c>
      <c r="D73" t="s">
        <v>173</v>
      </c>
      <c r="E73" t="s">
        <v>28</v>
      </c>
      <c r="F73" t="s">
        <v>64</v>
      </c>
      <c r="G73" t="s">
        <v>85</v>
      </c>
      <c r="H73" s="1">
        <v>44566</v>
      </c>
      <c r="I73" s="5">
        <f>YEAR(Week_3_Employee_Data_CLEANED[[#This Row],[hire_date]])</f>
        <v>2022</v>
      </c>
      <c r="J73" s="1">
        <v>44671</v>
      </c>
      <c r="K73" t="b">
        <v>0</v>
      </c>
      <c r="L73">
        <v>31608.38</v>
      </c>
      <c r="M73" t="s">
        <v>70</v>
      </c>
      <c r="N73" t="s">
        <v>57</v>
      </c>
      <c r="O73" t="s">
        <v>34</v>
      </c>
      <c r="P73" t="s">
        <v>34</v>
      </c>
      <c r="Q73">
        <v>1039</v>
      </c>
      <c r="R73" t="s">
        <v>40</v>
      </c>
    </row>
    <row r="74" spans="1:18" x14ac:dyDescent="0.25">
      <c r="A74">
        <v>1073</v>
      </c>
      <c r="B74" t="s">
        <v>114</v>
      </c>
      <c r="C74" t="s">
        <v>36</v>
      </c>
      <c r="D74" t="s">
        <v>174</v>
      </c>
      <c r="E74" t="s">
        <v>28</v>
      </c>
      <c r="F74" t="s">
        <v>128</v>
      </c>
      <c r="G74" t="s">
        <v>116</v>
      </c>
      <c r="H74" s="1">
        <v>43891</v>
      </c>
      <c r="I74" s="5">
        <f>YEAR(Week_3_Employee_Data_CLEANED[[#This Row],[hire_date]])</f>
        <v>2020</v>
      </c>
      <c r="J74" s="1"/>
      <c r="K74" t="b">
        <v>1</v>
      </c>
      <c r="L74">
        <v>36303.78</v>
      </c>
      <c r="M74" t="s">
        <v>31</v>
      </c>
      <c r="N74" t="s">
        <v>54</v>
      </c>
      <c r="O74" t="s">
        <v>33</v>
      </c>
      <c r="P74" t="s">
        <v>49</v>
      </c>
      <c r="R74" t="s">
        <v>71</v>
      </c>
    </row>
    <row r="75" spans="1:18" x14ac:dyDescent="0.25">
      <c r="A75">
        <v>1074</v>
      </c>
      <c r="B75" t="s">
        <v>175</v>
      </c>
      <c r="C75" t="s">
        <v>72</v>
      </c>
      <c r="D75" t="s">
        <v>176</v>
      </c>
      <c r="E75" t="s">
        <v>28</v>
      </c>
      <c r="F75" t="s">
        <v>64</v>
      </c>
      <c r="G75" t="s">
        <v>45</v>
      </c>
      <c r="H75" s="1">
        <v>43851</v>
      </c>
      <c r="I75" s="5">
        <f>YEAR(Week_3_Employee_Data_CLEANED[[#This Row],[hire_date]])</f>
        <v>2020</v>
      </c>
      <c r="J75" s="1">
        <v>45466</v>
      </c>
      <c r="K75" t="b">
        <v>0</v>
      </c>
      <c r="L75">
        <v>52258.87</v>
      </c>
      <c r="M75" t="s">
        <v>46</v>
      </c>
      <c r="N75" t="s">
        <v>54</v>
      </c>
      <c r="O75" t="s">
        <v>58</v>
      </c>
      <c r="P75" t="s">
        <v>59</v>
      </c>
      <c r="Q75">
        <v>1033</v>
      </c>
      <c r="R75" t="s">
        <v>71</v>
      </c>
    </row>
    <row r="76" spans="1:18" x14ac:dyDescent="0.25">
      <c r="A76">
        <v>1075</v>
      </c>
      <c r="B76" t="s">
        <v>114</v>
      </c>
      <c r="C76" t="s">
        <v>92</v>
      </c>
      <c r="D76" t="s">
        <v>177</v>
      </c>
      <c r="E76" t="s">
        <v>28</v>
      </c>
      <c r="F76" t="s">
        <v>64</v>
      </c>
      <c r="G76" t="s">
        <v>65</v>
      </c>
      <c r="H76" s="1">
        <v>43997</v>
      </c>
      <c r="I76" s="5">
        <f>YEAR(Week_3_Employee_Data_CLEANED[[#This Row],[hire_date]])</f>
        <v>2020</v>
      </c>
      <c r="J76" s="1"/>
      <c r="K76" t="b">
        <v>0</v>
      </c>
      <c r="L76">
        <v>53039.82</v>
      </c>
      <c r="M76" t="s">
        <v>70</v>
      </c>
      <c r="N76" t="s">
        <v>57</v>
      </c>
      <c r="O76" t="s">
        <v>33</v>
      </c>
      <c r="P76" t="s">
        <v>49</v>
      </c>
      <c r="Q76">
        <v>1054</v>
      </c>
      <c r="R76" t="s">
        <v>40</v>
      </c>
    </row>
    <row r="77" spans="1:18" x14ac:dyDescent="0.25">
      <c r="A77">
        <v>1076</v>
      </c>
      <c r="B77" t="s">
        <v>166</v>
      </c>
      <c r="C77" t="s">
        <v>50</v>
      </c>
      <c r="D77" t="s">
        <v>178</v>
      </c>
      <c r="E77" t="s">
        <v>74</v>
      </c>
      <c r="F77" t="s">
        <v>64</v>
      </c>
      <c r="G77" t="s">
        <v>103</v>
      </c>
      <c r="H77" s="1">
        <v>44486</v>
      </c>
      <c r="I77" s="5">
        <f>YEAR(Week_3_Employee_Data_CLEANED[[#This Row],[hire_date]])</f>
        <v>2021</v>
      </c>
      <c r="J77" s="1">
        <v>46221</v>
      </c>
      <c r="K77" t="b">
        <v>0</v>
      </c>
      <c r="L77">
        <v>32447.200000000001</v>
      </c>
      <c r="M77" t="s">
        <v>31</v>
      </c>
      <c r="N77" t="s">
        <v>57</v>
      </c>
      <c r="O77" t="s">
        <v>34</v>
      </c>
      <c r="P77" t="s">
        <v>34</v>
      </c>
      <c r="R77" t="s">
        <v>71</v>
      </c>
    </row>
    <row r="78" spans="1:18" x14ac:dyDescent="0.25">
      <c r="A78">
        <v>1077</v>
      </c>
      <c r="B78" t="s">
        <v>25</v>
      </c>
      <c r="C78" t="s">
        <v>125</v>
      </c>
      <c r="D78" t="s">
        <v>179</v>
      </c>
      <c r="E78" t="s">
        <v>28</v>
      </c>
      <c r="F78" t="s">
        <v>29</v>
      </c>
      <c r="G78" t="s">
        <v>65</v>
      </c>
      <c r="H78" s="1">
        <v>43126</v>
      </c>
      <c r="I78" s="5">
        <f>YEAR(Week_3_Employee_Data_CLEANED[[#This Row],[hire_date]])</f>
        <v>2018</v>
      </c>
      <c r="J78" s="1"/>
      <c r="K78" t="b">
        <v>0</v>
      </c>
      <c r="L78">
        <v>38983.69</v>
      </c>
      <c r="M78" t="s">
        <v>46</v>
      </c>
      <c r="N78" t="s">
        <v>47</v>
      </c>
      <c r="O78" t="s">
        <v>33</v>
      </c>
      <c r="P78" t="s">
        <v>49</v>
      </c>
      <c r="Q78">
        <v>1008</v>
      </c>
      <c r="R78" t="s">
        <v>60</v>
      </c>
    </row>
    <row r="79" spans="1:18" x14ac:dyDescent="0.25">
      <c r="A79">
        <v>1078</v>
      </c>
      <c r="B79" t="s">
        <v>122</v>
      </c>
      <c r="C79" t="s">
        <v>42</v>
      </c>
      <c r="D79" t="s">
        <v>123</v>
      </c>
      <c r="E79" t="s">
        <v>74</v>
      </c>
      <c r="F79" t="s">
        <v>128</v>
      </c>
      <c r="G79" t="s">
        <v>53</v>
      </c>
      <c r="H79" s="1">
        <v>42958</v>
      </c>
      <c r="I79" s="5">
        <f>YEAR(Week_3_Employee_Data_CLEANED[[#This Row],[hire_date]])</f>
        <v>2017</v>
      </c>
      <c r="J79" s="1"/>
      <c r="K79" t="b">
        <v>0</v>
      </c>
      <c r="L79">
        <v>43820.32</v>
      </c>
      <c r="M79" t="s">
        <v>70</v>
      </c>
      <c r="N79" t="s">
        <v>32</v>
      </c>
      <c r="O79" t="s">
        <v>33</v>
      </c>
      <c r="P79" t="s">
        <v>34</v>
      </c>
      <c r="Q79">
        <v>1047</v>
      </c>
      <c r="R79" t="s">
        <v>66</v>
      </c>
    </row>
    <row r="80" spans="1:18" x14ac:dyDescent="0.25">
      <c r="A80">
        <v>1079</v>
      </c>
      <c r="B80" t="s">
        <v>172</v>
      </c>
      <c r="C80" t="s">
        <v>89</v>
      </c>
      <c r="D80" t="s">
        <v>180</v>
      </c>
      <c r="E80" t="s">
        <v>74</v>
      </c>
      <c r="F80" t="s">
        <v>29</v>
      </c>
      <c r="G80" t="s">
        <v>103</v>
      </c>
      <c r="H80" s="1">
        <v>44596</v>
      </c>
      <c r="I80" s="5">
        <f>YEAR(Week_3_Employee_Data_CLEANED[[#This Row],[hire_date]])</f>
        <v>2022</v>
      </c>
      <c r="J80" s="1"/>
      <c r="K80" t="b">
        <v>1</v>
      </c>
      <c r="L80">
        <v>32685.73</v>
      </c>
      <c r="M80" t="s">
        <v>70</v>
      </c>
      <c r="N80" t="s">
        <v>47</v>
      </c>
      <c r="O80" t="s">
        <v>58</v>
      </c>
      <c r="P80" t="s">
        <v>59</v>
      </c>
      <c r="Q80">
        <v>1028</v>
      </c>
      <c r="R80" t="s">
        <v>66</v>
      </c>
    </row>
    <row r="81" spans="1:18" x14ac:dyDescent="0.25">
      <c r="A81">
        <v>1080</v>
      </c>
      <c r="B81" t="s">
        <v>67</v>
      </c>
      <c r="C81" t="s">
        <v>68</v>
      </c>
      <c r="D81" t="s">
        <v>181</v>
      </c>
      <c r="E81" t="s">
        <v>84</v>
      </c>
      <c r="F81" t="s">
        <v>29</v>
      </c>
      <c r="G81" t="s">
        <v>116</v>
      </c>
      <c r="H81" s="1">
        <v>42259</v>
      </c>
      <c r="I81" s="5">
        <f>YEAR(Week_3_Employee_Data_CLEANED[[#This Row],[hire_date]])</f>
        <v>2015</v>
      </c>
      <c r="J81" s="1">
        <v>43134</v>
      </c>
      <c r="K81" t="b">
        <v>0</v>
      </c>
      <c r="L81">
        <v>13663.85</v>
      </c>
      <c r="M81" t="s">
        <v>70</v>
      </c>
      <c r="N81" t="s">
        <v>57</v>
      </c>
      <c r="O81" t="s">
        <v>38</v>
      </c>
      <c r="P81" t="s">
        <v>34</v>
      </c>
      <c r="R81" t="s">
        <v>60</v>
      </c>
    </row>
    <row r="82" spans="1:18" x14ac:dyDescent="0.25">
      <c r="A82">
        <v>1081</v>
      </c>
      <c r="B82" t="s">
        <v>138</v>
      </c>
      <c r="C82" t="s">
        <v>62</v>
      </c>
      <c r="D82" t="s">
        <v>182</v>
      </c>
      <c r="E82" t="s">
        <v>84</v>
      </c>
      <c r="F82" t="s">
        <v>100</v>
      </c>
      <c r="G82" t="s">
        <v>45</v>
      </c>
      <c r="H82" s="1">
        <v>42533</v>
      </c>
      <c r="I82" s="5">
        <f>YEAR(Week_3_Employee_Data_CLEANED[[#This Row],[hire_date]])</f>
        <v>2016</v>
      </c>
      <c r="J82" s="1"/>
      <c r="K82" t="b">
        <v>0</v>
      </c>
      <c r="L82">
        <v>42856.47</v>
      </c>
      <c r="M82" t="s">
        <v>70</v>
      </c>
      <c r="N82" t="s">
        <v>57</v>
      </c>
      <c r="O82" t="s">
        <v>34</v>
      </c>
      <c r="P82" t="s">
        <v>34</v>
      </c>
      <c r="Q82">
        <v>1062</v>
      </c>
      <c r="R82" t="s">
        <v>40</v>
      </c>
    </row>
    <row r="83" spans="1:18" x14ac:dyDescent="0.25">
      <c r="A83">
        <v>1082</v>
      </c>
      <c r="B83" t="s">
        <v>172</v>
      </c>
      <c r="C83" t="s">
        <v>92</v>
      </c>
      <c r="D83" t="s">
        <v>183</v>
      </c>
      <c r="E83" t="s">
        <v>84</v>
      </c>
      <c r="F83" t="s">
        <v>128</v>
      </c>
      <c r="G83" t="s">
        <v>97</v>
      </c>
      <c r="H83" s="1">
        <v>43602</v>
      </c>
      <c r="I83" s="5">
        <f>YEAR(Week_3_Employee_Data_CLEANED[[#This Row],[hire_date]])</f>
        <v>2019</v>
      </c>
      <c r="J83" s="1"/>
      <c r="K83" t="b">
        <v>1</v>
      </c>
      <c r="L83">
        <v>45732.23</v>
      </c>
      <c r="M83" t="s">
        <v>70</v>
      </c>
      <c r="N83" t="s">
        <v>54</v>
      </c>
      <c r="O83" t="s">
        <v>33</v>
      </c>
      <c r="P83" t="s">
        <v>49</v>
      </c>
      <c r="Q83">
        <v>1021</v>
      </c>
      <c r="R83" t="s">
        <v>71</v>
      </c>
    </row>
    <row r="84" spans="1:18" x14ac:dyDescent="0.25">
      <c r="A84">
        <v>1083</v>
      </c>
      <c r="B84" t="s">
        <v>118</v>
      </c>
      <c r="C84" t="s">
        <v>72</v>
      </c>
      <c r="D84" t="s">
        <v>184</v>
      </c>
      <c r="E84" t="s">
        <v>84</v>
      </c>
      <c r="F84" t="s">
        <v>128</v>
      </c>
      <c r="G84" t="s">
        <v>80</v>
      </c>
      <c r="H84" s="1">
        <v>44578</v>
      </c>
      <c r="I84" s="5">
        <f>YEAR(Week_3_Employee_Data_CLEANED[[#This Row],[hire_date]])</f>
        <v>2022</v>
      </c>
      <c r="J84" s="1"/>
      <c r="K84" t="b">
        <v>0</v>
      </c>
      <c r="L84">
        <v>39986.03</v>
      </c>
      <c r="M84" t="s">
        <v>70</v>
      </c>
      <c r="N84" t="s">
        <v>57</v>
      </c>
      <c r="O84" t="s">
        <v>33</v>
      </c>
      <c r="P84" t="s">
        <v>34</v>
      </c>
      <c r="Q84">
        <v>1058</v>
      </c>
      <c r="R84" t="s">
        <v>66</v>
      </c>
    </row>
    <row r="85" spans="1:18" x14ac:dyDescent="0.25">
      <c r="A85">
        <v>1084</v>
      </c>
      <c r="B85" t="s">
        <v>170</v>
      </c>
      <c r="C85" t="s">
        <v>26</v>
      </c>
      <c r="D85" t="s">
        <v>185</v>
      </c>
      <c r="E85" t="s">
        <v>84</v>
      </c>
      <c r="F85" t="s">
        <v>100</v>
      </c>
      <c r="G85" t="s">
        <v>97</v>
      </c>
      <c r="H85" s="1">
        <v>43375</v>
      </c>
      <c r="I85" s="5">
        <f>YEAR(Week_3_Employee_Data_CLEANED[[#This Row],[hire_date]])</f>
        <v>2018</v>
      </c>
      <c r="J85" s="1">
        <v>44339</v>
      </c>
      <c r="K85" t="b">
        <v>0</v>
      </c>
      <c r="L85">
        <v>23917.46</v>
      </c>
      <c r="M85" t="s">
        <v>31</v>
      </c>
      <c r="N85" t="s">
        <v>47</v>
      </c>
      <c r="O85" t="s">
        <v>58</v>
      </c>
      <c r="P85" t="s">
        <v>59</v>
      </c>
      <c r="R85" t="s">
        <v>40</v>
      </c>
    </row>
    <row r="86" spans="1:18" x14ac:dyDescent="0.25">
      <c r="A86">
        <v>1085</v>
      </c>
      <c r="B86" t="s">
        <v>86</v>
      </c>
      <c r="C86" t="s">
        <v>125</v>
      </c>
      <c r="D86" t="s">
        <v>186</v>
      </c>
      <c r="E86" t="s">
        <v>84</v>
      </c>
      <c r="F86" t="s">
        <v>29</v>
      </c>
      <c r="G86" t="s">
        <v>80</v>
      </c>
      <c r="H86" s="1">
        <v>43207</v>
      </c>
      <c r="I86" s="5">
        <f>YEAR(Week_3_Employee_Data_CLEANED[[#This Row],[hire_date]])</f>
        <v>2018</v>
      </c>
      <c r="J86" s="1"/>
      <c r="K86" t="b">
        <v>0</v>
      </c>
      <c r="L86">
        <v>32647.67</v>
      </c>
      <c r="M86" t="s">
        <v>70</v>
      </c>
      <c r="N86" t="s">
        <v>54</v>
      </c>
      <c r="O86" t="s">
        <v>48</v>
      </c>
      <c r="P86" t="s">
        <v>49</v>
      </c>
      <c r="Q86">
        <v>1006</v>
      </c>
      <c r="R86" t="s">
        <v>40</v>
      </c>
    </row>
    <row r="87" spans="1:18" x14ac:dyDescent="0.25">
      <c r="A87">
        <v>1086</v>
      </c>
      <c r="B87" t="s">
        <v>35</v>
      </c>
      <c r="C87" t="s">
        <v>26</v>
      </c>
      <c r="D87" t="s">
        <v>187</v>
      </c>
      <c r="E87" t="s">
        <v>28</v>
      </c>
      <c r="F87" t="s">
        <v>29</v>
      </c>
      <c r="G87" t="s">
        <v>53</v>
      </c>
      <c r="H87" s="1">
        <v>44497</v>
      </c>
      <c r="I87" s="5">
        <f>YEAR(Week_3_Employee_Data_CLEANED[[#This Row],[hire_date]])</f>
        <v>2021</v>
      </c>
      <c r="J87" s="1">
        <v>44807</v>
      </c>
      <c r="K87" t="b">
        <v>0</v>
      </c>
      <c r="L87">
        <v>27910.76</v>
      </c>
      <c r="M87" t="s">
        <v>70</v>
      </c>
      <c r="N87" t="s">
        <v>47</v>
      </c>
      <c r="O87" t="s">
        <v>38</v>
      </c>
      <c r="P87" t="s">
        <v>34</v>
      </c>
      <c r="Q87">
        <v>1053</v>
      </c>
      <c r="R87" t="s">
        <v>34</v>
      </c>
    </row>
    <row r="88" spans="1:18" x14ac:dyDescent="0.25">
      <c r="A88">
        <v>1087</v>
      </c>
      <c r="B88" t="s">
        <v>166</v>
      </c>
      <c r="C88" t="s">
        <v>131</v>
      </c>
      <c r="D88" t="s">
        <v>188</v>
      </c>
      <c r="E88" t="s">
        <v>74</v>
      </c>
      <c r="F88" t="s">
        <v>44</v>
      </c>
      <c r="G88" t="s">
        <v>85</v>
      </c>
      <c r="H88" s="1">
        <v>42550</v>
      </c>
      <c r="I88" s="5">
        <f>YEAR(Week_3_Employee_Data_CLEANED[[#This Row],[hire_date]])</f>
        <v>2016</v>
      </c>
      <c r="J88" s="1">
        <v>44283</v>
      </c>
      <c r="K88" t="b">
        <v>0</v>
      </c>
      <c r="L88">
        <v>31403.47</v>
      </c>
      <c r="M88" t="s">
        <v>70</v>
      </c>
      <c r="N88" t="s">
        <v>57</v>
      </c>
      <c r="O88" t="s">
        <v>58</v>
      </c>
      <c r="P88" t="s">
        <v>59</v>
      </c>
      <c r="R88" t="s">
        <v>60</v>
      </c>
    </row>
    <row r="89" spans="1:18" x14ac:dyDescent="0.25">
      <c r="A89">
        <v>1088</v>
      </c>
      <c r="B89" t="s">
        <v>112</v>
      </c>
      <c r="C89" t="s">
        <v>72</v>
      </c>
      <c r="D89" t="s">
        <v>189</v>
      </c>
      <c r="E89" t="s">
        <v>84</v>
      </c>
      <c r="F89" t="s">
        <v>44</v>
      </c>
      <c r="G89" t="s">
        <v>85</v>
      </c>
      <c r="H89" s="1">
        <v>43833</v>
      </c>
      <c r="I89" s="5">
        <f>YEAR(Week_3_Employee_Data_CLEANED[[#This Row],[hire_date]])</f>
        <v>2020</v>
      </c>
      <c r="J89" s="1"/>
      <c r="K89" t="b">
        <v>1</v>
      </c>
      <c r="L89">
        <v>50562.62</v>
      </c>
      <c r="M89" t="s">
        <v>70</v>
      </c>
      <c r="N89" t="s">
        <v>32</v>
      </c>
      <c r="O89" t="s">
        <v>48</v>
      </c>
      <c r="P89" t="s">
        <v>95</v>
      </c>
      <c r="R89" t="s">
        <v>40</v>
      </c>
    </row>
    <row r="90" spans="1:18" x14ac:dyDescent="0.25">
      <c r="A90">
        <v>1089</v>
      </c>
      <c r="B90" t="s">
        <v>114</v>
      </c>
      <c r="C90" t="s">
        <v>72</v>
      </c>
      <c r="D90" t="s">
        <v>190</v>
      </c>
      <c r="E90" t="s">
        <v>84</v>
      </c>
      <c r="F90" t="s">
        <v>29</v>
      </c>
      <c r="G90" t="s">
        <v>65</v>
      </c>
      <c r="H90" s="1">
        <v>42190</v>
      </c>
      <c r="I90" s="5">
        <f>YEAR(Week_3_Employee_Data_CLEANED[[#This Row],[hire_date]])</f>
        <v>2015</v>
      </c>
      <c r="J90" s="1"/>
      <c r="K90" t="b">
        <v>0</v>
      </c>
      <c r="L90">
        <v>53354.96</v>
      </c>
      <c r="M90" t="s">
        <v>31</v>
      </c>
      <c r="N90" t="s">
        <v>47</v>
      </c>
      <c r="O90" t="s">
        <v>33</v>
      </c>
      <c r="P90" t="s">
        <v>49</v>
      </c>
      <c r="Q90">
        <v>1060</v>
      </c>
      <c r="R90" t="s">
        <v>71</v>
      </c>
    </row>
    <row r="91" spans="1:18" x14ac:dyDescent="0.25">
      <c r="A91">
        <v>1090</v>
      </c>
      <c r="B91" t="s">
        <v>138</v>
      </c>
      <c r="C91" t="s">
        <v>36</v>
      </c>
      <c r="D91" t="s">
        <v>191</v>
      </c>
      <c r="E91" t="s">
        <v>28</v>
      </c>
      <c r="F91" t="s">
        <v>128</v>
      </c>
      <c r="G91" t="s">
        <v>116</v>
      </c>
      <c r="H91" s="1">
        <v>42989</v>
      </c>
      <c r="I91" s="5">
        <f>YEAR(Week_3_Employee_Data_CLEANED[[#This Row],[hire_date]])</f>
        <v>2017</v>
      </c>
      <c r="J91" s="1"/>
      <c r="K91" t="b">
        <v>0</v>
      </c>
      <c r="L91">
        <v>43033.02</v>
      </c>
      <c r="M91" t="s">
        <v>31</v>
      </c>
      <c r="N91" t="s">
        <v>47</v>
      </c>
      <c r="O91" t="s">
        <v>48</v>
      </c>
      <c r="P91" t="s">
        <v>95</v>
      </c>
      <c r="Q91">
        <v>1055</v>
      </c>
      <c r="R91" t="s">
        <v>40</v>
      </c>
    </row>
    <row r="92" spans="1:18" x14ac:dyDescent="0.25">
      <c r="A92">
        <v>1091</v>
      </c>
      <c r="B92" t="s">
        <v>67</v>
      </c>
      <c r="C92" t="s">
        <v>89</v>
      </c>
      <c r="D92" t="s">
        <v>192</v>
      </c>
      <c r="E92" t="s">
        <v>84</v>
      </c>
      <c r="F92" t="s">
        <v>64</v>
      </c>
      <c r="G92" t="s">
        <v>80</v>
      </c>
      <c r="H92" s="1">
        <v>43076</v>
      </c>
      <c r="I92" s="5">
        <f>YEAR(Week_3_Employee_Data_CLEANED[[#This Row],[hire_date]])</f>
        <v>2017</v>
      </c>
      <c r="J92" s="1"/>
      <c r="K92" t="b">
        <v>0</v>
      </c>
      <c r="L92">
        <v>41584.94</v>
      </c>
      <c r="M92" t="s">
        <v>70</v>
      </c>
      <c r="N92" t="s">
        <v>47</v>
      </c>
      <c r="O92" t="s">
        <v>38</v>
      </c>
      <c r="P92" t="s">
        <v>110</v>
      </c>
      <c r="Q92">
        <v>1087</v>
      </c>
      <c r="R92" t="s">
        <v>71</v>
      </c>
    </row>
    <row r="93" spans="1:18" x14ac:dyDescent="0.25">
      <c r="A93">
        <v>1092</v>
      </c>
      <c r="B93" t="s">
        <v>118</v>
      </c>
      <c r="C93" t="s">
        <v>62</v>
      </c>
      <c r="D93" t="s">
        <v>193</v>
      </c>
      <c r="E93" t="s">
        <v>28</v>
      </c>
      <c r="F93" t="s">
        <v>29</v>
      </c>
      <c r="G93" t="s">
        <v>97</v>
      </c>
      <c r="H93" s="1">
        <v>42468</v>
      </c>
      <c r="I93" s="5">
        <f>YEAR(Week_3_Employee_Data_CLEANED[[#This Row],[hire_date]])</f>
        <v>2016</v>
      </c>
      <c r="J93" s="1">
        <v>43715</v>
      </c>
      <c r="K93" t="b">
        <v>0</v>
      </c>
      <c r="L93">
        <v>43119.55</v>
      </c>
      <c r="M93" t="s">
        <v>31</v>
      </c>
      <c r="N93" t="s">
        <v>54</v>
      </c>
      <c r="O93" t="s">
        <v>33</v>
      </c>
      <c r="P93" t="s">
        <v>59</v>
      </c>
      <c r="Q93">
        <v>1017</v>
      </c>
      <c r="R93" t="s">
        <v>34</v>
      </c>
    </row>
    <row r="94" spans="1:18" x14ac:dyDescent="0.25">
      <c r="A94">
        <v>1093</v>
      </c>
      <c r="B94" t="s">
        <v>194</v>
      </c>
      <c r="C94" t="s">
        <v>125</v>
      </c>
      <c r="D94" t="s">
        <v>195</v>
      </c>
      <c r="E94" t="s">
        <v>28</v>
      </c>
      <c r="F94" t="s">
        <v>64</v>
      </c>
      <c r="G94" t="s">
        <v>45</v>
      </c>
      <c r="H94" s="1">
        <v>44668</v>
      </c>
      <c r="I94" s="5">
        <f>YEAR(Week_3_Employee_Data_CLEANED[[#This Row],[hire_date]])</f>
        <v>2022</v>
      </c>
      <c r="J94" s="1"/>
      <c r="K94" t="b">
        <v>0</v>
      </c>
      <c r="L94">
        <v>34853.089999999997</v>
      </c>
      <c r="M94" t="s">
        <v>70</v>
      </c>
      <c r="N94" t="s">
        <v>57</v>
      </c>
      <c r="O94" t="s">
        <v>33</v>
      </c>
      <c r="P94" t="s">
        <v>49</v>
      </c>
      <c r="Q94">
        <v>1050</v>
      </c>
      <c r="R94" t="s">
        <v>71</v>
      </c>
    </row>
    <row r="95" spans="1:18" x14ac:dyDescent="0.25">
      <c r="A95">
        <v>1094</v>
      </c>
      <c r="B95" t="s">
        <v>75</v>
      </c>
      <c r="C95" t="s">
        <v>26</v>
      </c>
      <c r="D95" t="s">
        <v>196</v>
      </c>
      <c r="E95" t="s">
        <v>84</v>
      </c>
      <c r="F95" t="s">
        <v>100</v>
      </c>
      <c r="G95" t="s">
        <v>97</v>
      </c>
      <c r="H95" s="1">
        <v>42238</v>
      </c>
      <c r="I95" s="5">
        <f>YEAR(Week_3_Employee_Data_CLEANED[[#This Row],[hire_date]])</f>
        <v>2015</v>
      </c>
      <c r="J95" s="1">
        <v>44052</v>
      </c>
      <c r="K95" t="b">
        <v>0</v>
      </c>
      <c r="L95">
        <v>34092.04</v>
      </c>
      <c r="M95" t="s">
        <v>46</v>
      </c>
      <c r="N95" t="s">
        <v>32</v>
      </c>
      <c r="O95" t="s">
        <v>33</v>
      </c>
      <c r="P95" t="s">
        <v>49</v>
      </c>
      <c r="R95" t="s">
        <v>66</v>
      </c>
    </row>
    <row r="96" spans="1:18" x14ac:dyDescent="0.25">
      <c r="A96">
        <v>1095</v>
      </c>
      <c r="B96" t="s">
        <v>25</v>
      </c>
      <c r="C96" t="s">
        <v>101</v>
      </c>
      <c r="D96" t="s">
        <v>197</v>
      </c>
      <c r="E96" t="s">
        <v>28</v>
      </c>
      <c r="F96" t="s">
        <v>52</v>
      </c>
      <c r="G96" t="s">
        <v>53</v>
      </c>
      <c r="H96" s="1">
        <v>43951</v>
      </c>
      <c r="I96" s="5">
        <f>YEAR(Week_3_Employee_Data_CLEANED[[#This Row],[hire_date]])</f>
        <v>2020</v>
      </c>
      <c r="J96" s="1"/>
      <c r="K96" t="b">
        <v>1</v>
      </c>
      <c r="L96">
        <v>26916.26</v>
      </c>
      <c r="M96" t="s">
        <v>31</v>
      </c>
      <c r="N96" t="s">
        <v>32</v>
      </c>
      <c r="O96" t="s">
        <v>58</v>
      </c>
      <c r="P96" t="s">
        <v>59</v>
      </c>
      <c r="R96" t="s">
        <v>40</v>
      </c>
    </row>
    <row r="97" spans="1:18" x14ac:dyDescent="0.25">
      <c r="A97">
        <v>1096</v>
      </c>
      <c r="B97" t="s">
        <v>170</v>
      </c>
      <c r="C97" t="s">
        <v>42</v>
      </c>
      <c r="D97" t="s">
        <v>198</v>
      </c>
      <c r="E97" t="s">
        <v>28</v>
      </c>
      <c r="F97" t="s">
        <v>128</v>
      </c>
      <c r="G97" t="s">
        <v>97</v>
      </c>
      <c r="H97" s="1">
        <v>43450</v>
      </c>
      <c r="I97" s="5">
        <f>YEAR(Week_3_Employee_Data_CLEANED[[#This Row],[hire_date]])</f>
        <v>2018</v>
      </c>
      <c r="J97" s="1"/>
      <c r="K97" t="b">
        <v>0</v>
      </c>
      <c r="L97">
        <v>34329.589999999997</v>
      </c>
      <c r="M97" t="s">
        <v>46</v>
      </c>
      <c r="N97" t="s">
        <v>54</v>
      </c>
      <c r="O97" t="s">
        <v>48</v>
      </c>
      <c r="P97" t="s">
        <v>49</v>
      </c>
      <c r="Q97">
        <v>1019</v>
      </c>
      <c r="R97" t="s">
        <v>34</v>
      </c>
    </row>
    <row r="98" spans="1:18" x14ac:dyDescent="0.25">
      <c r="A98">
        <v>1097</v>
      </c>
      <c r="B98" t="s">
        <v>120</v>
      </c>
      <c r="C98" t="s">
        <v>62</v>
      </c>
      <c r="D98" t="s">
        <v>199</v>
      </c>
      <c r="E98" t="s">
        <v>28</v>
      </c>
      <c r="F98" t="s">
        <v>128</v>
      </c>
      <c r="G98" t="s">
        <v>80</v>
      </c>
      <c r="H98" s="1">
        <v>42109</v>
      </c>
      <c r="I98" s="5">
        <f>YEAR(Week_3_Employee_Data_CLEANED[[#This Row],[hire_date]])</f>
        <v>2015</v>
      </c>
      <c r="J98" s="1"/>
      <c r="K98" t="b">
        <v>0</v>
      </c>
      <c r="L98">
        <v>62119.360000000001</v>
      </c>
      <c r="M98" t="s">
        <v>31</v>
      </c>
      <c r="N98" t="s">
        <v>57</v>
      </c>
      <c r="O98" t="s">
        <v>34</v>
      </c>
      <c r="P98" t="s">
        <v>34</v>
      </c>
      <c r="Q98">
        <v>1088</v>
      </c>
      <c r="R98" t="s">
        <v>40</v>
      </c>
    </row>
    <row r="99" spans="1:18" x14ac:dyDescent="0.25">
      <c r="A99">
        <v>1098</v>
      </c>
      <c r="B99" t="s">
        <v>107</v>
      </c>
      <c r="C99" t="s">
        <v>42</v>
      </c>
      <c r="D99" t="s">
        <v>200</v>
      </c>
      <c r="E99" t="s">
        <v>74</v>
      </c>
      <c r="F99" t="s">
        <v>29</v>
      </c>
      <c r="G99" t="s">
        <v>116</v>
      </c>
      <c r="H99" s="1">
        <v>43538</v>
      </c>
      <c r="I99" s="5">
        <f>YEAR(Week_3_Employee_Data_CLEANED[[#This Row],[hire_date]])</f>
        <v>2019</v>
      </c>
      <c r="J99" s="1"/>
      <c r="K99" t="b">
        <v>1</v>
      </c>
      <c r="L99">
        <v>45428.47</v>
      </c>
      <c r="M99" t="s">
        <v>46</v>
      </c>
      <c r="N99" t="s">
        <v>57</v>
      </c>
      <c r="O99" t="s">
        <v>38</v>
      </c>
      <c r="P99" t="s">
        <v>110</v>
      </c>
      <c r="Q99">
        <v>1012</v>
      </c>
      <c r="R99" t="s">
        <v>40</v>
      </c>
    </row>
    <row r="100" spans="1:18" x14ac:dyDescent="0.25">
      <c r="A100">
        <v>1099</v>
      </c>
      <c r="B100" t="s">
        <v>77</v>
      </c>
      <c r="C100" t="s">
        <v>72</v>
      </c>
      <c r="D100" t="s">
        <v>201</v>
      </c>
      <c r="E100" t="s">
        <v>28</v>
      </c>
      <c r="F100" t="s">
        <v>52</v>
      </c>
      <c r="G100" t="s">
        <v>116</v>
      </c>
      <c r="H100" s="1">
        <v>44589</v>
      </c>
      <c r="I100" s="5">
        <f>YEAR(Week_3_Employee_Data_CLEANED[[#This Row],[hire_date]])</f>
        <v>2022</v>
      </c>
      <c r="J100" s="1"/>
      <c r="K100" t="b">
        <v>1</v>
      </c>
      <c r="L100">
        <v>30894.6</v>
      </c>
      <c r="M100" t="s">
        <v>70</v>
      </c>
      <c r="N100" t="s">
        <v>57</v>
      </c>
      <c r="O100" t="s">
        <v>34</v>
      </c>
      <c r="P100" t="s">
        <v>34</v>
      </c>
      <c r="Q100">
        <v>1006</v>
      </c>
      <c r="R100" t="s">
        <v>71</v>
      </c>
    </row>
    <row r="101" spans="1:18" x14ac:dyDescent="0.25">
      <c r="A101">
        <v>1100</v>
      </c>
      <c r="B101" t="s">
        <v>194</v>
      </c>
      <c r="C101" t="s">
        <v>82</v>
      </c>
      <c r="D101" t="s">
        <v>202</v>
      </c>
      <c r="E101" t="s">
        <v>84</v>
      </c>
      <c r="F101" t="s">
        <v>64</v>
      </c>
      <c r="G101" t="s">
        <v>80</v>
      </c>
      <c r="H101" s="1">
        <v>42810</v>
      </c>
      <c r="I101" s="5">
        <f>YEAR(Week_3_Employee_Data_CLEANED[[#This Row],[hire_date]])</f>
        <v>2017</v>
      </c>
      <c r="J101" s="1"/>
      <c r="K101" t="b">
        <v>1</v>
      </c>
      <c r="L101">
        <v>29336.880000000001</v>
      </c>
      <c r="M101" t="s">
        <v>70</v>
      </c>
      <c r="N101" t="s">
        <v>54</v>
      </c>
      <c r="O101" t="s">
        <v>38</v>
      </c>
      <c r="P101" t="s">
        <v>39</v>
      </c>
      <c r="Q101">
        <v>1010</v>
      </c>
      <c r="R101" t="s">
        <v>66</v>
      </c>
    </row>
    <row r="102" spans="1:18" x14ac:dyDescent="0.25">
      <c r="A102">
        <v>1101</v>
      </c>
      <c r="B102" t="s">
        <v>112</v>
      </c>
      <c r="C102" t="s">
        <v>68</v>
      </c>
      <c r="D102" t="s">
        <v>203</v>
      </c>
      <c r="E102" t="s">
        <v>84</v>
      </c>
      <c r="F102" t="s">
        <v>100</v>
      </c>
      <c r="G102" t="s">
        <v>103</v>
      </c>
      <c r="H102" s="1">
        <v>43133</v>
      </c>
      <c r="I102" s="5">
        <f>YEAR(Week_3_Employee_Data_CLEANED[[#This Row],[hire_date]])</f>
        <v>2018</v>
      </c>
      <c r="J102" s="1">
        <v>44355</v>
      </c>
      <c r="K102" t="b">
        <v>0</v>
      </c>
      <c r="L102">
        <v>24626.12</v>
      </c>
      <c r="M102" t="s">
        <v>70</v>
      </c>
      <c r="N102" t="s">
        <v>57</v>
      </c>
      <c r="O102" t="s">
        <v>34</v>
      </c>
      <c r="P102" t="s">
        <v>34</v>
      </c>
      <c r="R102" t="s">
        <v>60</v>
      </c>
    </row>
    <row r="103" spans="1:18" x14ac:dyDescent="0.25">
      <c r="A103">
        <v>1102</v>
      </c>
      <c r="B103" t="s">
        <v>120</v>
      </c>
      <c r="C103" t="s">
        <v>78</v>
      </c>
      <c r="D103" t="s">
        <v>204</v>
      </c>
      <c r="E103" t="s">
        <v>84</v>
      </c>
      <c r="F103" t="s">
        <v>52</v>
      </c>
      <c r="G103" t="s">
        <v>97</v>
      </c>
      <c r="H103" s="1">
        <v>43718</v>
      </c>
      <c r="I103" s="5">
        <f>YEAR(Week_3_Employee_Data_CLEANED[[#This Row],[hire_date]])</f>
        <v>2019</v>
      </c>
      <c r="J103" s="1"/>
      <c r="K103" t="b">
        <v>1</v>
      </c>
      <c r="L103">
        <v>39492.44</v>
      </c>
      <c r="M103" t="s">
        <v>70</v>
      </c>
      <c r="N103" t="s">
        <v>57</v>
      </c>
      <c r="O103" t="s">
        <v>48</v>
      </c>
      <c r="P103" t="s">
        <v>59</v>
      </c>
      <c r="R103" t="s">
        <v>71</v>
      </c>
    </row>
    <row r="104" spans="1:18" x14ac:dyDescent="0.25">
      <c r="A104">
        <v>1103</v>
      </c>
      <c r="B104" t="s">
        <v>55</v>
      </c>
      <c r="C104" t="s">
        <v>26</v>
      </c>
      <c r="D104" t="s">
        <v>205</v>
      </c>
      <c r="E104" t="s">
        <v>28</v>
      </c>
      <c r="F104" t="s">
        <v>100</v>
      </c>
      <c r="G104" t="s">
        <v>116</v>
      </c>
      <c r="H104" s="1">
        <v>44305</v>
      </c>
      <c r="I104" s="5">
        <f>YEAR(Week_3_Employee_Data_CLEANED[[#This Row],[hire_date]])</f>
        <v>2021</v>
      </c>
      <c r="J104" s="1"/>
      <c r="K104" t="b">
        <v>0</v>
      </c>
      <c r="L104">
        <v>39698.550000000003</v>
      </c>
      <c r="M104" t="s">
        <v>46</v>
      </c>
      <c r="N104" t="s">
        <v>54</v>
      </c>
      <c r="O104" t="s">
        <v>33</v>
      </c>
      <c r="P104" t="s">
        <v>59</v>
      </c>
      <c r="Q104">
        <v>1037</v>
      </c>
      <c r="R104" t="s">
        <v>71</v>
      </c>
    </row>
    <row r="105" spans="1:18" x14ac:dyDescent="0.25">
      <c r="A105">
        <v>1104</v>
      </c>
      <c r="B105" t="s">
        <v>122</v>
      </c>
      <c r="C105" t="s">
        <v>101</v>
      </c>
      <c r="D105" t="s">
        <v>206</v>
      </c>
      <c r="E105" t="s">
        <v>28</v>
      </c>
      <c r="F105" t="s">
        <v>29</v>
      </c>
      <c r="G105" t="s">
        <v>45</v>
      </c>
      <c r="H105" s="1">
        <v>43109</v>
      </c>
      <c r="I105" s="5">
        <f>YEAR(Week_3_Employee_Data_CLEANED[[#This Row],[hire_date]])</f>
        <v>2018</v>
      </c>
      <c r="J105" s="1"/>
      <c r="K105" t="b">
        <v>0</v>
      </c>
      <c r="L105">
        <v>17682.54</v>
      </c>
      <c r="M105" t="s">
        <v>46</v>
      </c>
      <c r="N105" t="s">
        <v>47</v>
      </c>
      <c r="O105" t="s">
        <v>58</v>
      </c>
      <c r="P105" t="s">
        <v>59</v>
      </c>
      <c r="Q105">
        <v>1075</v>
      </c>
      <c r="R105" t="s">
        <v>34</v>
      </c>
    </row>
    <row r="106" spans="1:18" x14ac:dyDescent="0.25">
      <c r="A106">
        <v>1105</v>
      </c>
      <c r="B106" t="s">
        <v>175</v>
      </c>
      <c r="C106" t="s">
        <v>78</v>
      </c>
      <c r="D106" t="s">
        <v>207</v>
      </c>
      <c r="E106" t="s">
        <v>28</v>
      </c>
      <c r="F106" t="s">
        <v>128</v>
      </c>
      <c r="G106" t="s">
        <v>30</v>
      </c>
      <c r="H106" s="1">
        <v>43013</v>
      </c>
      <c r="I106" s="5">
        <f>YEAR(Week_3_Employee_Data_CLEANED[[#This Row],[hire_date]])</f>
        <v>2017</v>
      </c>
      <c r="J106" s="1">
        <v>44580</v>
      </c>
      <c r="K106" t="b">
        <v>0</v>
      </c>
      <c r="L106">
        <v>40836.019999999997</v>
      </c>
      <c r="M106" t="s">
        <v>46</v>
      </c>
      <c r="N106" t="s">
        <v>47</v>
      </c>
      <c r="O106" t="s">
        <v>34</v>
      </c>
      <c r="P106" t="s">
        <v>34</v>
      </c>
      <c r="R106" t="s">
        <v>60</v>
      </c>
    </row>
    <row r="107" spans="1:18" x14ac:dyDescent="0.25">
      <c r="A107">
        <v>1106</v>
      </c>
      <c r="B107" t="s">
        <v>172</v>
      </c>
      <c r="C107" t="s">
        <v>72</v>
      </c>
      <c r="D107" t="s">
        <v>208</v>
      </c>
      <c r="E107" t="s">
        <v>74</v>
      </c>
      <c r="F107" t="s">
        <v>128</v>
      </c>
      <c r="G107" t="s">
        <v>30</v>
      </c>
      <c r="H107" s="1">
        <v>43221</v>
      </c>
      <c r="I107" s="5">
        <f>YEAR(Week_3_Employee_Data_CLEANED[[#This Row],[hire_date]])</f>
        <v>2018</v>
      </c>
      <c r="J107" s="1">
        <v>43841</v>
      </c>
      <c r="K107" t="b">
        <v>0</v>
      </c>
      <c r="L107">
        <v>28166.33</v>
      </c>
      <c r="M107" t="s">
        <v>46</v>
      </c>
      <c r="N107" t="s">
        <v>47</v>
      </c>
      <c r="O107" t="s">
        <v>48</v>
      </c>
      <c r="P107" t="s">
        <v>49</v>
      </c>
      <c r="Q107">
        <v>1087</v>
      </c>
      <c r="R107" t="s">
        <v>66</v>
      </c>
    </row>
    <row r="108" spans="1:18" x14ac:dyDescent="0.25">
      <c r="A108">
        <v>1107</v>
      </c>
      <c r="B108" t="s">
        <v>114</v>
      </c>
      <c r="C108" t="s">
        <v>101</v>
      </c>
      <c r="D108" t="s">
        <v>209</v>
      </c>
      <c r="E108" t="s">
        <v>84</v>
      </c>
      <c r="F108" t="s">
        <v>29</v>
      </c>
      <c r="G108" t="s">
        <v>65</v>
      </c>
      <c r="H108" s="1">
        <v>43316</v>
      </c>
      <c r="I108" s="5">
        <f>YEAR(Week_3_Employee_Data_CLEANED[[#This Row],[hire_date]])</f>
        <v>2018</v>
      </c>
      <c r="J108" s="1"/>
      <c r="K108" t="b">
        <v>1</v>
      </c>
      <c r="L108">
        <v>416965.2</v>
      </c>
      <c r="M108" t="s">
        <v>70</v>
      </c>
      <c r="N108" t="s">
        <v>57</v>
      </c>
      <c r="O108" t="s">
        <v>33</v>
      </c>
      <c r="P108" t="s">
        <v>34</v>
      </c>
      <c r="Q108">
        <v>1049</v>
      </c>
      <c r="R108" t="s">
        <v>40</v>
      </c>
    </row>
    <row r="109" spans="1:18" x14ac:dyDescent="0.25">
      <c r="A109">
        <v>1108</v>
      </c>
      <c r="B109" t="s">
        <v>138</v>
      </c>
      <c r="C109" t="s">
        <v>101</v>
      </c>
      <c r="D109" t="s">
        <v>210</v>
      </c>
      <c r="E109" t="s">
        <v>74</v>
      </c>
      <c r="F109" t="s">
        <v>64</v>
      </c>
      <c r="G109" t="s">
        <v>103</v>
      </c>
      <c r="H109" s="1">
        <v>42095</v>
      </c>
      <c r="I109" s="5">
        <f>YEAR(Week_3_Employee_Data_CLEANED[[#This Row],[hire_date]])</f>
        <v>2015</v>
      </c>
      <c r="J109" s="1"/>
      <c r="K109" t="b">
        <v>0</v>
      </c>
      <c r="L109">
        <v>36882.129999999997</v>
      </c>
      <c r="M109" t="s">
        <v>31</v>
      </c>
      <c r="N109" t="s">
        <v>47</v>
      </c>
      <c r="O109" t="s">
        <v>33</v>
      </c>
      <c r="P109" t="s">
        <v>34</v>
      </c>
      <c r="Q109">
        <v>1102</v>
      </c>
      <c r="R109" t="s">
        <v>71</v>
      </c>
    </row>
    <row r="110" spans="1:18" x14ac:dyDescent="0.25">
      <c r="A110">
        <v>1109</v>
      </c>
      <c r="B110" t="s">
        <v>86</v>
      </c>
      <c r="C110" t="s">
        <v>82</v>
      </c>
      <c r="D110" t="s">
        <v>211</v>
      </c>
      <c r="E110" t="s">
        <v>84</v>
      </c>
      <c r="F110" t="s">
        <v>128</v>
      </c>
      <c r="G110" t="s">
        <v>85</v>
      </c>
      <c r="H110" s="1">
        <v>43398</v>
      </c>
      <c r="I110" s="5">
        <f>YEAR(Week_3_Employee_Data_CLEANED[[#This Row],[hire_date]])</f>
        <v>2018</v>
      </c>
      <c r="J110" s="1"/>
      <c r="K110" t="b">
        <v>0</v>
      </c>
      <c r="L110">
        <v>55612.76</v>
      </c>
      <c r="M110" t="s">
        <v>31</v>
      </c>
      <c r="N110" t="s">
        <v>54</v>
      </c>
      <c r="O110" t="s">
        <v>33</v>
      </c>
      <c r="P110" t="s">
        <v>59</v>
      </c>
      <c r="Q110">
        <v>1006</v>
      </c>
      <c r="R110" t="s">
        <v>40</v>
      </c>
    </row>
    <row r="111" spans="1:18" x14ac:dyDescent="0.25">
      <c r="A111">
        <v>1110</v>
      </c>
      <c r="B111" t="s">
        <v>55</v>
      </c>
      <c r="C111" t="s">
        <v>89</v>
      </c>
      <c r="D111" t="s">
        <v>212</v>
      </c>
      <c r="E111" t="s">
        <v>74</v>
      </c>
      <c r="F111" t="s">
        <v>29</v>
      </c>
      <c r="G111" t="s">
        <v>103</v>
      </c>
      <c r="H111" s="1">
        <v>43427</v>
      </c>
      <c r="I111" s="5">
        <f>YEAR(Week_3_Employee_Data_CLEANED[[#This Row],[hire_date]])</f>
        <v>2018</v>
      </c>
      <c r="J111" s="1"/>
      <c r="K111" t="b">
        <v>1</v>
      </c>
      <c r="L111">
        <v>29502.48</v>
      </c>
      <c r="M111" t="s">
        <v>31</v>
      </c>
      <c r="N111" t="s">
        <v>47</v>
      </c>
      <c r="O111" t="s">
        <v>38</v>
      </c>
      <c r="P111" t="s">
        <v>110</v>
      </c>
      <c r="Q111">
        <v>1018</v>
      </c>
      <c r="R111" t="s">
        <v>40</v>
      </c>
    </row>
    <row r="112" spans="1:18" x14ac:dyDescent="0.25">
      <c r="A112">
        <v>1111</v>
      </c>
      <c r="B112" t="s">
        <v>61</v>
      </c>
      <c r="C112" t="s">
        <v>82</v>
      </c>
      <c r="D112" t="s">
        <v>213</v>
      </c>
      <c r="E112" t="s">
        <v>28</v>
      </c>
      <c r="F112" t="s">
        <v>44</v>
      </c>
      <c r="G112" t="s">
        <v>65</v>
      </c>
      <c r="H112" s="1">
        <v>44778</v>
      </c>
      <c r="I112" s="5">
        <f>YEAR(Week_3_Employee_Data_CLEANED[[#This Row],[hire_date]])</f>
        <v>2022</v>
      </c>
      <c r="J112" s="1"/>
      <c r="K112" t="b">
        <v>0</v>
      </c>
      <c r="L112">
        <v>31544.19</v>
      </c>
      <c r="M112" t="s">
        <v>46</v>
      </c>
      <c r="N112" t="s">
        <v>54</v>
      </c>
      <c r="O112" t="s">
        <v>33</v>
      </c>
      <c r="P112" t="s">
        <v>39</v>
      </c>
      <c r="Q112">
        <v>1036</v>
      </c>
      <c r="R112" t="s">
        <v>40</v>
      </c>
    </row>
    <row r="113" spans="1:18" x14ac:dyDescent="0.25">
      <c r="A113">
        <v>1112</v>
      </c>
      <c r="B113" t="s">
        <v>41</v>
      </c>
      <c r="C113" t="s">
        <v>62</v>
      </c>
      <c r="D113" t="s">
        <v>214</v>
      </c>
      <c r="E113" t="s">
        <v>84</v>
      </c>
      <c r="F113" t="s">
        <v>100</v>
      </c>
      <c r="G113" t="s">
        <v>65</v>
      </c>
      <c r="H113" s="1">
        <v>44231</v>
      </c>
      <c r="I113" s="5">
        <f>YEAR(Week_3_Employee_Data_CLEANED[[#This Row],[hire_date]])</f>
        <v>2021</v>
      </c>
      <c r="J113" s="1">
        <v>45854</v>
      </c>
      <c r="K113" t="b">
        <v>0</v>
      </c>
      <c r="L113">
        <v>38597.699999999997</v>
      </c>
      <c r="M113" t="s">
        <v>46</v>
      </c>
      <c r="N113" t="s">
        <v>32</v>
      </c>
      <c r="O113" t="s">
        <v>58</v>
      </c>
      <c r="P113" t="s">
        <v>59</v>
      </c>
      <c r="R113" t="s">
        <v>40</v>
      </c>
    </row>
    <row r="114" spans="1:18" x14ac:dyDescent="0.25">
      <c r="A114">
        <v>1113</v>
      </c>
      <c r="B114" t="s">
        <v>114</v>
      </c>
      <c r="C114" t="s">
        <v>131</v>
      </c>
      <c r="D114" t="s">
        <v>215</v>
      </c>
      <c r="E114" t="s">
        <v>74</v>
      </c>
      <c r="F114" t="s">
        <v>44</v>
      </c>
      <c r="G114" t="s">
        <v>80</v>
      </c>
      <c r="H114" s="1">
        <v>42108</v>
      </c>
      <c r="I114" s="5">
        <f>YEAR(Week_3_Employee_Data_CLEANED[[#This Row],[hire_date]])</f>
        <v>2015</v>
      </c>
      <c r="J114" s="1"/>
      <c r="K114" t="b">
        <v>1</v>
      </c>
      <c r="L114">
        <v>47671.38</v>
      </c>
      <c r="M114" t="s">
        <v>31</v>
      </c>
      <c r="N114" t="s">
        <v>47</v>
      </c>
      <c r="O114" t="s">
        <v>38</v>
      </c>
      <c r="P114" t="s">
        <v>34</v>
      </c>
      <c r="Q114">
        <v>1040</v>
      </c>
      <c r="R114" t="s">
        <v>66</v>
      </c>
    </row>
    <row r="115" spans="1:18" x14ac:dyDescent="0.25">
      <c r="A115">
        <v>1114</v>
      </c>
      <c r="B115" t="s">
        <v>55</v>
      </c>
      <c r="C115" t="s">
        <v>101</v>
      </c>
      <c r="D115" t="s">
        <v>216</v>
      </c>
      <c r="E115" t="s">
        <v>28</v>
      </c>
      <c r="F115" t="s">
        <v>128</v>
      </c>
      <c r="G115" t="s">
        <v>97</v>
      </c>
      <c r="H115" s="1">
        <v>42925</v>
      </c>
      <c r="I115" s="5">
        <f>YEAR(Week_3_Employee_Data_CLEANED[[#This Row],[hire_date]])</f>
        <v>2017</v>
      </c>
      <c r="J115" s="1">
        <v>44659</v>
      </c>
      <c r="K115" t="b">
        <v>0</v>
      </c>
      <c r="L115">
        <v>41790.589999999997</v>
      </c>
      <c r="M115" t="s">
        <v>70</v>
      </c>
      <c r="N115" t="s">
        <v>54</v>
      </c>
      <c r="O115" t="s">
        <v>58</v>
      </c>
      <c r="P115" t="s">
        <v>59</v>
      </c>
      <c r="Q115">
        <v>1039</v>
      </c>
      <c r="R115" t="s">
        <v>60</v>
      </c>
    </row>
    <row r="116" spans="1:18" x14ac:dyDescent="0.25">
      <c r="A116">
        <v>1115</v>
      </c>
      <c r="B116" t="s">
        <v>217</v>
      </c>
      <c r="C116" t="s">
        <v>78</v>
      </c>
      <c r="D116" t="s">
        <v>218</v>
      </c>
      <c r="E116" t="s">
        <v>28</v>
      </c>
      <c r="F116" t="s">
        <v>29</v>
      </c>
      <c r="G116" t="s">
        <v>85</v>
      </c>
      <c r="H116" s="1">
        <v>43968</v>
      </c>
      <c r="I116" s="5">
        <f>YEAR(Week_3_Employee_Data_CLEANED[[#This Row],[hire_date]])</f>
        <v>2020</v>
      </c>
      <c r="J116" s="1">
        <v>45720</v>
      </c>
      <c r="K116" t="b">
        <v>0</v>
      </c>
      <c r="L116">
        <v>20197.71</v>
      </c>
      <c r="M116" t="s">
        <v>70</v>
      </c>
      <c r="N116" t="s">
        <v>47</v>
      </c>
      <c r="O116" t="s">
        <v>34</v>
      </c>
      <c r="P116" t="s">
        <v>34</v>
      </c>
      <c r="Q116">
        <v>1044</v>
      </c>
      <c r="R116" t="s">
        <v>60</v>
      </c>
    </row>
    <row r="117" spans="1:18" x14ac:dyDescent="0.25">
      <c r="A117">
        <v>1116</v>
      </c>
      <c r="B117" t="s">
        <v>145</v>
      </c>
      <c r="C117" t="s">
        <v>82</v>
      </c>
      <c r="D117" t="s">
        <v>219</v>
      </c>
      <c r="E117" t="s">
        <v>74</v>
      </c>
      <c r="F117" t="s">
        <v>64</v>
      </c>
      <c r="G117" t="s">
        <v>103</v>
      </c>
      <c r="H117" s="1">
        <v>44329</v>
      </c>
      <c r="I117" s="5">
        <f>YEAR(Week_3_Employee_Data_CLEANED[[#This Row],[hire_date]])</f>
        <v>2021</v>
      </c>
      <c r="J117" s="1"/>
      <c r="K117" t="b">
        <v>0</v>
      </c>
      <c r="L117">
        <v>37194.81</v>
      </c>
      <c r="M117" t="s">
        <v>70</v>
      </c>
      <c r="N117" t="s">
        <v>57</v>
      </c>
      <c r="O117" t="s">
        <v>38</v>
      </c>
      <c r="P117" t="s">
        <v>110</v>
      </c>
      <c r="Q117">
        <v>1104</v>
      </c>
      <c r="R117" t="s">
        <v>34</v>
      </c>
    </row>
    <row r="118" spans="1:18" x14ac:dyDescent="0.25">
      <c r="A118">
        <v>1117</v>
      </c>
      <c r="B118" t="s">
        <v>104</v>
      </c>
      <c r="C118" t="s">
        <v>125</v>
      </c>
      <c r="D118" t="s">
        <v>220</v>
      </c>
      <c r="E118" t="s">
        <v>28</v>
      </c>
      <c r="F118" t="s">
        <v>128</v>
      </c>
      <c r="G118" t="s">
        <v>30</v>
      </c>
      <c r="H118" s="1">
        <v>44775</v>
      </c>
      <c r="I118" s="5">
        <f>YEAR(Week_3_Employee_Data_CLEANED[[#This Row],[hire_date]])</f>
        <v>2022</v>
      </c>
      <c r="J118" s="1">
        <v>46019</v>
      </c>
      <c r="K118" t="b">
        <v>0</v>
      </c>
      <c r="L118">
        <v>35266.94</v>
      </c>
      <c r="M118" t="s">
        <v>31</v>
      </c>
      <c r="N118" t="s">
        <v>57</v>
      </c>
      <c r="O118" t="s">
        <v>48</v>
      </c>
      <c r="P118" t="s">
        <v>110</v>
      </c>
      <c r="Q118">
        <v>1057</v>
      </c>
      <c r="R118" t="s">
        <v>60</v>
      </c>
    </row>
    <row r="119" spans="1:18" x14ac:dyDescent="0.25">
      <c r="A119">
        <v>1118</v>
      </c>
      <c r="B119" t="s">
        <v>55</v>
      </c>
      <c r="C119" t="s">
        <v>78</v>
      </c>
      <c r="D119" t="s">
        <v>221</v>
      </c>
      <c r="E119" t="s">
        <v>28</v>
      </c>
      <c r="F119" t="s">
        <v>64</v>
      </c>
      <c r="G119" t="s">
        <v>97</v>
      </c>
      <c r="H119" s="1">
        <v>44909</v>
      </c>
      <c r="I119" s="5">
        <f>YEAR(Week_3_Employee_Data_CLEANED[[#This Row],[hire_date]])</f>
        <v>2022</v>
      </c>
      <c r="J119" s="1">
        <v>46111</v>
      </c>
      <c r="K119" t="b">
        <v>0</v>
      </c>
      <c r="L119">
        <v>29851.18</v>
      </c>
      <c r="M119" t="s">
        <v>46</v>
      </c>
      <c r="N119" t="s">
        <v>32</v>
      </c>
      <c r="O119" t="s">
        <v>58</v>
      </c>
      <c r="P119" t="s">
        <v>49</v>
      </c>
      <c r="R119" t="s">
        <v>34</v>
      </c>
    </row>
    <row r="120" spans="1:18" x14ac:dyDescent="0.25">
      <c r="A120">
        <v>1119</v>
      </c>
      <c r="B120" t="s">
        <v>67</v>
      </c>
      <c r="C120" t="s">
        <v>68</v>
      </c>
      <c r="D120" t="s">
        <v>222</v>
      </c>
      <c r="E120" t="s">
        <v>28</v>
      </c>
      <c r="F120" t="s">
        <v>29</v>
      </c>
      <c r="G120" t="s">
        <v>103</v>
      </c>
      <c r="H120" s="1">
        <v>44451</v>
      </c>
      <c r="I120" s="5">
        <f>YEAR(Week_3_Employee_Data_CLEANED[[#This Row],[hire_date]])</f>
        <v>2021</v>
      </c>
      <c r="J120" s="1">
        <v>44449</v>
      </c>
      <c r="K120" t="b">
        <v>0</v>
      </c>
      <c r="L120">
        <v>27222.74</v>
      </c>
      <c r="M120" t="s">
        <v>31</v>
      </c>
      <c r="N120" t="s">
        <v>47</v>
      </c>
      <c r="O120" t="s">
        <v>58</v>
      </c>
      <c r="P120" t="s">
        <v>39</v>
      </c>
      <c r="Q120">
        <v>1112</v>
      </c>
      <c r="R120" t="s">
        <v>40</v>
      </c>
    </row>
    <row r="121" spans="1:18" x14ac:dyDescent="0.25">
      <c r="A121">
        <v>1120</v>
      </c>
      <c r="B121" t="s">
        <v>55</v>
      </c>
      <c r="C121" t="s">
        <v>131</v>
      </c>
      <c r="D121" t="s">
        <v>223</v>
      </c>
      <c r="E121" t="s">
        <v>84</v>
      </c>
      <c r="F121" t="s">
        <v>52</v>
      </c>
      <c r="G121" t="s">
        <v>30</v>
      </c>
      <c r="H121" s="1">
        <v>43467</v>
      </c>
      <c r="I121" s="5">
        <f>YEAR(Week_3_Employee_Data_CLEANED[[#This Row],[hire_date]])</f>
        <v>2019</v>
      </c>
      <c r="J121" s="1"/>
      <c r="K121" t="b">
        <v>1</v>
      </c>
      <c r="L121">
        <v>55970.93</v>
      </c>
      <c r="M121" t="s">
        <v>70</v>
      </c>
      <c r="N121" t="s">
        <v>47</v>
      </c>
      <c r="O121" t="s">
        <v>48</v>
      </c>
      <c r="P121" t="s">
        <v>95</v>
      </c>
      <c r="R121" t="s">
        <v>66</v>
      </c>
    </row>
    <row r="122" spans="1:18" x14ac:dyDescent="0.25">
      <c r="A122">
        <v>1121</v>
      </c>
      <c r="B122" t="s">
        <v>67</v>
      </c>
      <c r="C122" t="s">
        <v>50</v>
      </c>
      <c r="D122" t="s">
        <v>224</v>
      </c>
      <c r="E122" t="s">
        <v>28</v>
      </c>
      <c r="F122" t="s">
        <v>29</v>
      </c>
      <c r="G122" t="s">
        <v>65</v>
      </c>
      <c r="H122" s="1">
        <v>44275</v>
      </c>
      <c r="I122" s="5">
        <f>YEAR(Week_3_Employee_Data_CLEANED[[#This Row],[hire_date]])</f>
        <v>2021</v>
      </c>
      <c r="J122" s="1"/>
      <c r="K122" t="b">
        <v>1</v>
      </c>
      <c r="L122">
        <v>30315.360000000001</v>
      </c>
      <c r="M122" t="s">
        <v>46</v>
      </c>
      <c r="N122" t="s">
        <v>54</v>
      </c>
      <c r="O122" t="s">
        <v>38</v>
      </c>
      <c r="P122" t="s">
        <v>39</v>
      </c>
      <c r="Q122">
        <v>1020</v>
      </c>
      <c r="R122" t="s">
        <v>71</v>
      </c>
    </row>
    <row r="123" spans="1:18" x14ac:dyDescent="0.25">
      <c r="A123">
        <v>1122</v>
      </c>
      <c r="B123" t="s">
        <v>166</v>
      </c>
      <c r="C123" t="s">
        <v>72</v>
      </c>
      <c r="D123" t="s">
        <v>225</v>
      </c>
      <c r="E123" t="s">
        <v>74</v>
      </c>
      <c r="F123" t="s">
        <v>29</v>
      </c>
      <c r="G123" t="s">
        <v>85</v>
      </c>
      <c r="H123" s="1">
        <v>43616</v>
      </c>
      <c r="I123" s="5">
        <f>YEAR(Week_3_Employee_Data_CLEANED[[#This Row],[hire_date]])</f>
        <v>2019</v>
      </c>
      <c r="J123" s="1"/>
      <c r="K123" t="b">
        <v>0</v>
      </c>
      <c r="L123">
        <v>24848.93</v>
      </c>
      <c r="M123" t="s">
        <v>31</v>
      </c>
      <c r="N123" t="s">
        <v>47</v>
      </c>
      <c r="O123" t="s">
        <v>33</v>
      </c>
      <c r="P123" t="s">
        <v>49</v>
      </c>
      <c r="R123" t="s">
        <v>34</v>
      </c>
    </row>
    <row r="124" spans="1:18" x14ac:dyDescent="0.25">
      <c r="A124">
        <v>1123</v>
      </c>
      <c r="B124" t="s">
        <v>41</v>
      </c>
      <c r="C124" t="s">
        <v>36</v>
      </c>
      <c r="D124" t="s">
        <v>226</v>
      </c>
      <c r="E124" t="s">
        <v>84</v>
      </c>
      <c r="F124" t="s">
        <v>128</v>
      </c>
      <c r="G124" t="s">
        <v>45</v>
      </c>
      <c r="H124" s="1">
        <v>42089</v>
      </c>
      <c r="I124" s="5">
        <f>YEAR(Week_3_Employee_Data_CLEANED[[#This Row],[hire_date]])</f>
        <v>2015</v>
      </c>
      <c r="J124" s="1"/>
      <c r="K124" t="b">
        <v>1</v>
      </c>
      <c r="L124">
        <v>42645.35</v>
      </c>
      <c r="M124" t="s">
        <v>70</v>
      </c>
      <c r="N124" t="s">
        <v>54</v>
      </c>
      <c r="O124" t="s">
        <v>48</v>
      </c>
      <c r="P124" t="s">
        <v>95</v>
      </c>
      <c r="Q124">
        <v>1068</v>
      </c>
      <c r="R124" t="s">
        <v>71</v>
      </c>
    </row>
    <row r="125" spans="1:18" x14ac:dyDescent="0.25">
      <c r="A125">
        <v>1124</v>
      </c>
      <c r="B125" t="s">
        <v>91</v>
      </c>
      <c r="C125" t="s">
        <v>50</v>
      </c>
      <c r="D125" t="s">
        <v>227</v>
      </c>
      <c r="E125" t="s">
        <v>28</v>
      </c>
      <c r="F125" t="s">
        <v>100</v>
      </c>
      <c r="G125" t="s">
        <v>45</v>
      </c>
      <c r="H125" s="1">
        <v>42583</v>
      </c>
      <c r="I125" s="5">
        <f>YEAR(Week_3_Employee_Data_CLEANED[[#This Row],[hire_date]])</f>
        <v>2016</v>
      </c>
      <c r="J125" s="1"/>
      <c r="K125" t="b">
        <v>0</v>
      </c>
      <c r="L125">
        <v>36567.480000000003</v>
      </c>
      <c r="M125" t="s">
        <v>31</v>
      </c>
      <c r="N125" t="s">
        <v>57</v>
      </c>
      <c r="O125" t="s">
        <v>48</v>
      </c>
      <c r="P125" t="s">
        <v>39</v>
      </c>
      <c r="Q125">
        <v>1086</v>
      </c>
      <c r="R125" t="s">
        <v>34</v>
      </c>
    </row>
    <row r="126" spans="1:18" x14ac:dyDescent="0.25">
      <c r="A126">
        <v>1125</v>
      </c>
      <c r="B126" t="s">
        <v>75</v>
      </c>
      <c r="C126" t="s">
        <v>78</v>
      </c>
      <c r="D126" t="s">
        <v>228</v>
      </c>
      <c r="E126" t="s">
        <v>28</v>
      </c>
      <c r="F126" t="s">
        <v>64</v>
      </c>
      <c r="G126" t="s">
        <v>85</v>
      </c>
      <c r="H126" s="1">
        <v>43663</v>
      </c>
      <c r="I126" s="5">
        <f>YEAR(Week_3_Employee_Data_CLEANED[[#This Row],[hire_date]])</f>
        <v>2019</v>
      </c>
      <c r="J126" s="1"/>
      <c r="K126" t="b">
        <v>1</v>
      </c>
      <c r="L126">
        <v>34090.230000000003</v>
      </c>
      <c r="M126" t="s">
        <v>46</v>
      </c>
      <c r="N126" t="s">
        <v>54</v>
      </c>
      <c r="O126" t="s">
        <v>48</v>
      </c>
      <c r="P126" t="s">
        <v>95</v>
      </c>
      <c r="Q126">
        <v>1025</v>
      </c>
      <c r="R126" t="s">
        <v>34</v>
      </c>
    </row>
    <row r="127" spans="1:18" x14ac:dyDescent="0.25">
      <c r="A127">
        <v>1126</v>
      </c>
      <c r="B127" t="s">
        <v>55</v>
      </c>
      <c r="C127" t="s">
        <v>125</v>
      </c>
      <c r="D127" t="s">
        <v>229</v>
      </c>
      <c r="E127" t="s">
        <v>84</v>
      </c>
      <c r="F127" t="s">
        <v>29</v>
      </c>
      <c r="G127" t="s">
        <v>85</v>
      </c>
      <c r="H127" s="1">
        <v>43312</v>
      </c>
      <c r="I127" s="5">
        <f>YEAR(Week_3_Employee_Data_CLEANED[[#This Row],[hire_date]])</f>
        <v>2018</v>
      </c>
      <c r="J127" s="1"/>
      <c r="K127" t="b">
        <v>1</v>
      </c>
      <c r="L127">
        <v>44375.62</v>
      </c>
      <c r="M127" t="s">
        <v>70</v>
      </c>
      <c r="N127" t="s">
        <v>47</v>
      </c>
      <c r="O127" t="s">
        <v>38</v>
      </c>
      <c r="P127" t="s">
        <v>59</v>
      </c>
      <c r="Q127">
        <v>1115</v>
      </c>
      <c r="R127" t="s">
        <v>71</v>
      </c>
    </row>
    <row r="128" spans="1:18" x14ac:dyDescent="0.25">
      <c r="A128">
        <v>1127</v>
      </c>
      <c r="B128" t="s">
        <v>175</v>
      </c>
      <c r="C128" t="s">
        <v>78</v>
      </c>
      <c r="D128" t="s">
        <v>230</v>
      </c>
      <c r="E128" t="s">
        <v>84</v>
      </c>
      <c r="F128" t="s">
        <v>64</v>
      </c>
      <c r="G128" t="s">
        <v>103</v>
      </c>
      <c r="H128" s="1">
        <v>42564</v>
      </c>
      <c r="I128" s="5">
        <f>YEAR(Week_3_Employee_Data_CLEANED[[#This Row],[hire_date]])</f>
        <v>2016</v>
      </c>
      <c r="J128" s="1"/>
      <c r="K128" t="b">
        <v>1</v>
      </c>
      <c r="L128">
        <v>40863.5</v>
      </c>
      <c r="M128" t="s">
        <v>46</v>
      </c>
      <c r="N128" t="s">
        <v>47</v>
      </c>
      <c r="O128" t="s">
        <v>58</v>
      </c>
      <c r="P128" t="s">
        <v>59</v>
      </c>
      <c r="Q128">
        <v>1087</v>
      </c>
      <c r="R128" t="s">
        <v>71</v>
      </c>
    </row>
    <row r="129" spans="1:18" x14ac:dyDescent="0.25">
      <c r="A129">
        <v>1128</v>
      </c>
      <c r="B129" t="s">
        <v>170</v>
      </c>
      <c r="C129" t="s">
        <v>36</v>
      </c>
      <c r="D129" t="s">
        <v>231</v>
      </c>
      <c r="E129" t="s">
        <v>28</v>
      </c>
      <c r="F129" t="s">
        <v>128</v>
      </c>
      <c r="G129" t="s">
        <v>97</v>
      </c>
      <c r="H129" s="1">
        <v>43902</v>
      </c>
      <c r="I129" s="5">
        <f>YEAR(Week_3_Employee_Data_CLEANED[[#This Row],[hire_date]])</f>
        <v>2020</v>
      </c>
      <c r="J129" s="1"/>
      <c r="K129" t="b">
        <v>0</v>
      </c>
      <c r="L129">
        <v>39346.28</v>
      </c>
      <c r="M129" t="s">
        <v>46</v>
      </c>
      <c r="N129" t="s">
        <v>47</v>
      </c>
      <c r="O129" t="s">
        <v>38</v>
      </c>
      <c r="P129" t="s">
        <v>39</v>
      </c>
      <c r="Q129">
        <v>1019</v>
      </c>
      <c r="R129" t="s">
        <v>40</v>
      </c>
    </row>
    <row r="130" spans="1:18" x14ac:dyDescent="0.25">
      <c r="A130">
        <v>1129</v>
      </c>
      <c r="B130" t="s">
        <v>112</v>
      </c>
      <c r="C130" t="s">
        <v>131</v>
      </c>
      <c r="D130" t="s">
        <v>232</v>
      </c>
      <c r="E130" t="s">
        <v>74</v>
      </c>
      <c r="F130" t="s">
        <v>64</v>
      </c>
      <c r="G130" t="s">
        <v>97</v>
      </c>
      <c r="H130" s="1">
        <v>44919</v>
      </c>
      <c r="I130" s="5">
        <f>YEAR(Week_3_Employee_Data_CLEANED[[#This Row],[hire_date]])</f>
        <v>2022</v>
      </c>
      <c r="J130" s="1"/>
      <c r="K130" t="b">
        <v>0</v>
      </c>
      <c r="L130">
        <v>46570.41</v>
      </c>
      <c r="M130" t="s">
        <v>46</v>
      </c>
      <c r="N130" t="s">
        <v>47</v>
      </c>
      <c r="O130" t="s">
        <v>48</v>
      </c>
      <c r="P130" t="s">
        <v>39</v>
      </c>
      <c r="Q130">
        <v>1026</v>
      </c>
      <c r="R130" t="s">
        <v>60</v>
      </c>
    </row>
    <row r="131" spans="1:18" x14ac:dyDescent="0.25">
      <c r="A131">
        <v>1130</v>
      </c>
      <c r="B131" t="s">
        <v>138</v>
      </c>
      <c r="C131" t="s">
        <v>78</v>
      </c>
      <c r="D131" t="s">
        <v>233</v>
      </c>
      <c r="E131" t="s">
        <v>28</v>
      </c>
      <c r="F131" t="s">
        <v>52</v>
      </c>
      <c r="G131" t="s">
        <v>30</v>
      </c>
      <c r="H131" s="1">
        <v>42844</v>
      </c>
      <c r="I131" s="5">
        <f>YEAR(Week_3_Employee_Data_CLEANED[[#This Row],[hire_date]])</f>
        <v>2017</v>
      </c>
      <c r="J131" s="1"/>
      <c r="K131" t="b">
        <v>0</v>
      </c>
      <c r="L131">
        <v>38403.64</v>
      </c>
      <c r="M131" t="s">
        <v>70</v>
      </c>
      <c r="N131" t="s">
        <v>54</v>
      </c>
      <c r="O131" t="s">
        <v>38</v>
      </c>
      <c r="P131" t="s">
        <v>95</v>
      </c>
      <c r="Q131">
        <v>1063</v>
      </c>
      <c r="R131" t="s">
        <v>60</v>
      </c>
    </row>
    <row r="132" spans="1:18" x14ac:dyDescent="0.25">
      <c r="A132">
        <v>1131</v>
      </c>
      <c r="B132" t="s">
        <v>138</v>
      </c>
      <c r="C132" t="s">
        <v>131</v>
      </c>
      <c r="D132" t="s">
        <v>234</v>
      </c>
      <c r="E132" t="s">
        <v>28</v>
      </c>
      <c r="F132" t="s">
        <v>29</v>
      </c>
      <c r="G132" t="s">
        <v>53</v>
      </c>
      <c r="H132" s="1">
        <v>44708</v>
      </c>
      <c r="I132" s="5">
        <f>YEAR(Week_3_Employee_Data_CLEANED[[#This Row],[hire_date]])</f>
        <v>2022</v>
      </c>
      <c r="J132" s="1"/>
      <c r="K132" t="b">
        <v>0</v>
      </c>
      <c r="L132">
        <v>27596.94</v>
      </c>
      <c r="M132" t="s">
        <v>46</v>
      </c>
      <c r="N132" t="s">
        <v>57</v>
      </c>
      <c r="O132" t="s">
        <v>58</v>
      </c>
      <c r="P132" t="s">
        <v>34</v>
      </c>
      <c r="R132" t="s">
        <v>40</v>
      </c>
    </row>
    <row r="133" spans="1:18" x14ac:dyDescent="0.25">
      <c r="A133">
        <v>1132</v>
      </c>
      <c r="B133" t="s">
        <v>217</v>
      </c>
      <c r="C133" t="s">
        <v>36</v>
      </c>
      <c r="D133" t="s">
        <v>235</v>
      </c>
      <c r="E133" t="s">
        <v>84</v>
      </c>
      <c r="F133" t="s">
        <v>128</v>
      </c>
      <c r="G133" t="s">
        <v>97</v>
      </c>
      <c r="H133" s="1">
        <v>43227</v>
      </c>
      <c r="I133" s="5">
        <f>YEAR(Week_3_Employee_Data_CLEANED[[#This Row],[hire_date]])</f>
        <v>2018</v>
      </c>
      <c r="J133" s="1"/>
      <c r="K133" t="b">
        <v>1</v>
      </c>
      <c r="L133">
        <v>30652.61</v>
      </c>
      <c r="M133" t="s">
        <v>70</v>
      </c>
      <c r="N133" t="s">
        <v>57</v>
      </c>
      <c r="O133" t="s">
        <v>48</v>
      </c>
      <c r="P133" t="s">
        <v>39</v>
      </c>
      <c r="Q133">
        <v>1125</v>
      </c>
      <c r="R133" t="s">
        <v>60</v>
      </c>
    </row>
    <row r="134" spans="1:18" x14ac:dyDescent="0.25">
      <c r="A134">
        <v>1133</v>
      </c>
      <c r="B134" t="s">
        <v>25</v>
      </c>
      <c r="C134" t="s">
        <v>101</v>
      </c>
      <c r="D134" t="s">
        <v>236</v>
      </c>
      <c r="E134" t="s">
        <v>84</v>
      </c>
      <c r="F134" t="s">
        <v>44</v>
      </c>
      <c r="G134" t="s">
        <v>103</v>
      </c>
      <c r="H134" s="1">
        <v>42194</v>
      </c>
      <c r="I134" s="5">
        <f>YEAR(Week_3_Employee_Data_CLEANED[[#This Row],[hire_date]])</f>
        <v>2015</v>
      </c>
      <c r="J134" s="1">
        <v>43993</v>
      </c>
      <c r="K134" t="b">
        <v>0</v>
      </c>
      <c r="L134">
        <v>28748.33</v>
      </c>
      <c r="M134" t="s">
        <v>70</v>
      </c>
      <c r="N134" t="s">
        <v>47</v>
      </c>
      <c r="O134" t="s">
        <v>33</v>
      </c>
      <c r="P134" t="s">
        <v>95</v>
      </c>
      <c r="Q134">
        <v>1091</v>
      </c>
      <c r="R134" t="s">
        <v>66</v>
      </c>
    </row>
    <row r="135" spans="1:18" x14ac:dyDescent="0.25">
      <c r="A135">
        <v>1134</v>
      </c>
      <c r="B135" t="s">
        <v>104</v>
      </c>
      <c r="C135" t="s">
        <v>36</v>
      </c>
      <c r="D135" t="s">
        <v>237</v>
      </c>
      <c r="E135" t="s">
        <v>84</v>
      </c>
      <c r="F135" t="s">
        <v>29</v>
      </c>
      <c r="G135" t="s">
        <v>45</v>
      </c>
      <c r="H135" s="1">
        <v>42829</v>
      </c>
      <c r="I135" s="5">
        <f>YEAR(Week_3_Employee_Data_CLEANED[[#This Row],[hire_date]])</f>
        <v>2017</v>
      </c>
      <c r="J135" s="1">
        <v>43892</v>
      </c>
      <c r="K135" t="b">
        <v>0</v>
      </c>
      <c r="L135">
        <v>37516.660000000003</v>
      </c>
      <c r="M135" t="s">
        <v>70</v>
      </c>
      <c r="N135" t="s">
        <v>57</v>
      </c>
      <c r="O135" t="s">
        <v>38</v>
      </c>
      <c r="P135" t="s">
        <v>39</v>
      </c>
      <c r="Q135">
        <v>1125</v>
      </c>
      <c r="R135" t="s">
        <v>66</v>
      </c>
    </row>
    <row r="136" spans="1:18" x14ac:dyDescent="0.25">
      <c r="A136">
        <v>1135</v>
      </c>
      <c r="B136" t="s">
        <v>114</v>
      </c>
      <c r="C136" t="s">
        <v>26</v>
      </c>
      <c r="D136" t="s">
        <v>238</v>
      </c>
      <c r="E136" t="s">
        <v>74</v>
      </c>
      <c r="F136" t="s">
        <v>29</v>
      </c>
      <c r="G136" t="s">
        <v>103</v>
      </c>
      <c r="H136" s="1">
        <v>42886</v>
      </c>
      <c r="I136" s="5">
        <f>YEAR(Week_3_Employee_Data_CLEANED[[#This Row],[hire_date]])</f>
        <v>2017</v>
      </c>
      <c r="J136" s="1">
        <v>43064</v>
      </c>
      <c r="K136" t="b">
        <v>0</v>
      </c>
      <c r="L136">
        <v>22064.18</v>
      </c>
      <c r="M136" t="s">
        <v>70</v>
      </c>
      <c r="N136" t="s">
        <v>47</v>
      </c>
      <c r="O136" t="s">
        <v>38</v>
      </c>
      <c r="P136" t="s">
        <v>39</v>
      </c>
      <c r="Q136">
        <v>1093</v>
      </c>
      <c r="R136" t="s">
        <v>71</v>
      </c>
    </row>
    <row r="137" spans="1:18" x14ac:dyDescent="0.25">
      <c r="A137">
        <v>1136</v>
      </c>
      <c r="B137" t="s">
        <v>138</v>
      </c>
      <c r="C137" t="s">
        <v>68</v>
      </c>
      <c r="D137" t="s">
        <v>239</v>
      </c>
      <c r="E137" t="s">
        <v>84</v>
      </c>
      <c r="F137" t="s">
        <v>128</v>
      </c>
      <c r="G137" t="s">
        <v>30</v>
      </c>
      <c r="H137" s="1">
        <v>43721</v>
      </c>
      <c r="I137" s="5">
        <f>YEAR(Week_3_Employee_Data_CLEANED[[#This Row],[hire_date]])</f>
        <v>2019</v>
      </c>
      <c r="J137" s="1"/>
      <c r="K137" t="b">
        <v>0</v>
      </c>
      <c r="L137">
        <v>13010.89</v>
      </c>
      <c r="M137" t="s">
        <v>70</v>
      </c>
      <c r="N137" t="s">
        <v>54</v>
      </c>
      <c r="O137" t="s">
        <v>48</v>
      </c>
      <c r="P137" t="s">
        <v>34</v>
      </c>
      <c r="Q137">
        <v>1097</v>
      </c>
      <c r="R137" t="s">
        <v>71</v>
      </c>
    </row>
    <row r="138" spans="1:18" x14ac:dyDescent="0.25">
      <c r="A138">
        <v>1137</v>
      </c>
      <c r="B138" t="s">
        <v>77</v>
      </c>
      <c r="C138" t="s">
        <v>72</v>
      </c>
      <c r="D138" t="s">
        <v>201</v>
      </c>
      <c r="E138" t="s">
        <v>28</v>
      </c>
      <c r="F138" t="s">
        <v>52</v>
      </c>
      <c r="G138" t="s">
        <v>30</v>
      </c>
      <c r="H138" s="1">
        <v>44741</v>
      </c>
      <c r="I138" s="5">
        <f>YEAR(Week_3_Employee_Data_CLEANED[[#This Row],[hire_date]])</f>
        <v>2022</v>
      </c>
      <c r="J138" s="1">
        <v>46299</v>
      </c>
      <c r="K138" t="b">
        <v>0</v>
      </c>
      <c r="L138">
        <v>36057.86</v>
      </c>
      <c r="M138" t="s">
        <v>46</v>
      </c>
      <c r="N138" t="s">
        <v>47</v>
      </c>
      <c r="O138" t="s">
        <v>34</v>
      </c>
      <c r="P138" t="s">
        <v>34</v>
      </c>
      <c r="Q138">
        <v>1097</v>
      </c>
      <c r="R138" t="s">
        <v>66</v>
      </c>
    </row>
    <row r="139" spans="1:18" x14ac:dyDescent="0.25">
      <c r="A139">
        <v>1138</v>
      </c>
      <c r="B139" t="s">
        <v>88</v>
      </c>
      <c r="C139" t="s">
        <v>125</v>
      </c>
      <c r="D139" t="s">
        <v>240</v>
      </c>
      <c r="E139" t="s">
        <v>28</v>
      </c>
      <c r="F139" t="s">
        <v>52</v>
      </c>
      <c r="G139" t="s">
        <v>103</v>
      </c>
      <c r="H139" s="1">
        <v>44143</v>
      </c>
      <c r="I139" s="5">
        <f>YEAR(Week_3_Employee_Data_CLEANED[[#This Row],[hire_date]])</f>
        <v>2020</v>
      </c>
      <c r="J139" s="1"/>
      <c r="K139" t="b">
        <v>1</v>
      </c>
      <c r="L139">
        <v>18961.75</v>
      </c>
      <c r="M139" t="s">
        <v>31</v>
      </c>
      <c r="N139" t="s">
        <v>47</v>
      </c>
      <c r="O139" t="s">
        <v>48</v>
      </c>
      <c r="P139" t="s">
        <v>49</v>
      </c>
      <c r="Q139">
        <v>1040</v>
      </c>
      <c r="R139" t="s">
        <v>60</v>
      </c>
    </row>
    <row r="140" spans="1:18" x14ac:dyDescent="0.25">
      <c r="A140">
        <v>1139</v>
      </c>
      <c r="B140" t="s">
        <v>138</v>
      </c>
      <c r="C140" t="s">
        <v>72</v>
      </c>
      <c r="D140" t="s">
        <v>241</v>
      </c>
      <c r="E140" t="s">
        <v>84</v>
      </c>
      <c r="F140" t="s">
        <v>128</v>
      </c>
      <c r="G140" t="s">
        <v>53</v>
      </c>
      <c r="H140" s="1">
        <v>43684</v>
      </c>
      <c r="I140" s="5">
        <f>YEAR(Week_3_Employee_Data_CLEANED[[#This Row],[hire_date]])</f>
        <v>2019</v>
      </c>
      <c r="J140" s="1">
        <v>44444</v>
      </c>
      <c r="K140" t="b">
        <v>0</v>
      </c>
      <c r="L140">
        <v>11576.26</v>
      </c>
      <c r="M140" t="s">
        <v>46</v>
      </c>
      <c r="N140" t="s">
        <v>57</v>
      </c>
      <c r="O140" t="s">
        <v>48</v>
      </c>
      <c r="P140" t="s">
        <v>59</v>
      </c>
      <c r="Q140">
        <v>1116</v>
      </c>
      <c r="R140" t="s">
        <v>34</v>
      </c>
    </row>
    <row r="141" spans="1:18" x14ac:dyDescent="0.25">
      <c r="A141">
        <v>1140</v>
      </c>
      <c r="B141" t="s">
        <v>61</v>
      </c>
      <c r="C141" t="s">
        <v>92</v>
      </c>
      <c r="D141" t="s">
        <v>242</v>
      </c>
      <c r="E141" t="s">
        <v>28</v>
      </c>
      <c r="F141" t="s">
        <v>52</v>
      </c>
      <c r="G141" t="s">
        <v>103</v>
      </c>
      <c r="H141" s="1">
        <v>43566</v>
      </c>
      <c r="I141" s="5">
        <f>YEAR(Week_3_Employee_Data_CLEANED[[#This Row],[hire_date]])</f>
        <v>2019</v>
      </c>
      <c r="J141" s="1">
        <v>44127</v>
      </c>
      <c r="K141" t="b">
        <v>0</v>
      </c>
      <c r="L141">
        <v>39479.97</v>
      </c>
      <c r="M141" t="s">
        <v>46</v>
      </c>
      <c r="N141" t="s">
        <v>57</v>
      </c>
      <c r="O141" t="s">
        <v>33</v>
      </c>
      <c r="P141" t="s">
        <v>95</v>
      </c>
      <c r="R141" t="s">
        <v>71</v>
      </c>
    </row>
    <row r="142" spans="1:18" x14ac:dyDescent="0.25">
      <c r="A142">
        <v>1141</v>
      </c>
      <c r="B142" t="s">
        <v>175</v>
      </c>
      <c r="C142" t="s">
        <v>26</v>
      </c>
      <c r="D142" t="s">
        <v>243</v>
      </c>
      <c r="E142" t="s">
        <v>28</v>
      </c>
      <c r="F142" t="s">
        <v>128</v>
      </c>
      <c r="G142" t="s">
        <v>103</v>
      </c>
      <c r="H142" s="1">
        <v>42176</v>
      </c>
      <c r="I142" s="5">
        <f>YEAR(Week_3_Employee_Data_CLEANED[[#This Row],[hire_date]])</f>
        <v>2015</v>
      </c>
      <c r="J142" s="1"/>
      <c r="K142" t="b">
        <v>0</v>
      </c>
      <c r="L142">
        <v>26467.360000000001</v>
      </c>
      <c r="M142" t="s">
        <v>31</v>
      </c>
      <c r="N142" t="s">
        <v>47</v>
      </c>
      <c r="O142" t="s">
        <v>38</v>
      </c>
      <c r="P142" t="s">
        <v>110</v>
      </c>
      <c r="Q142">
        <v>1053</v>
      </c>
      <c r="R142" t="s">
        <v>71</v>
      </c>
    </row>
    <row r="143" spans="1:18" x14ac:dyDescent="0.25">
      <c r="A143">
        <v>1142</v>
      </c>
      <c r="B143" t="s">
        <v>172</v>
      </c>
      <c r="C143" t="s">
        <v>68</v>
      </c>
      <c r="D143" t="s">
        <v>244</v>
      </c>
      <c r="E143" t="s">
        <v>84</v>
      </c>
      <c r="F143" t="s">
        <v>64</v>
      </c>
      <c r="G143" t="s">
        <v>80</v>
      </c>
      <c r="H143" s="1">
        <v>42446</v>
      </c>
      <c r="I143" s="5">
        <f>YEAR(Week_3_Employee_Data_CLEANED[[#This Row],[hire_date]])</f>
        <v>2016</v>
      </c>
      <c r="J143" s="1"/>
      <c r="K143" t="b">
        <v>0</v>
      </c>
      <c r="L143">
        <v>40953.51</v>
      </c>
      <c r="M143" t="s">
        <v>46</v>
      </c>
      <c r="N143" t="s">
        <v>57</v>
      </c>
      <c r="O143" t="s">
        <v>58</v>
      </c>
      <c r="P143" t="s">
        <v>49</v>
      </c>
      <c r="Q143">
        <v>1003</v>
      </c>
      <c r="R143" t="s">
        <v>66</v>
      </c>
    </row>
    <row r="144" spans="1:18" x14ac:dyDescent="0.25">
      <c r="A144">
        <v>1143</v>
      </c>
      <c r="B144" t="s">
        <v>91</v>
      </c>
      <c r="C144" t="s">
        <v>92</v>
      </c>
      <c r="D144" t="s">
        <v>245</v>
      </c>
      <c r="E144" t="s">
        <v>84</v>
      </c>
      <c r="F144" t="s">
        <v>100</v>
      </c>
      <c r="G144" t="s">
        <v>53</v>
      </c>
      <c r="H144" s="1">
        <v>44343</v>
      </c>
      <c r="I144" s="5">
        <f>YEAR(Week_3_Employee_Data_CLEANED[[#This Row],[hire_date]])</f>
        <v>2021</v>
      </c>
      <c r="J144" s="1">
        <v>45915</v>
      </c>
      <c r="K144" t="b">
        <v>0</v>
      </c>
      <c r="L144">
        <v>28629.75</v>
      </c>
      <c r="M144" t="s">
        <v>46</v>
      </c>
      <c r="N144" t="s">
        <v>54</v>
      </c>
      <c r="O144" t="s">
        <v>38</v>
      </c>
      <c r="P144" t="s">
        <v>110</v>
      </c>
      <c r="Q144">
        <v>1107</v>
      </c>
      <c r="R144" t="s">
        <v>66</v>
      </c>
    </row>
    <row r="145" spans="1:18" x14ac:dyDescent="0.25">
      <c r="A145">
        <v>1144</v>
      </c>
      <c r="B145" t="s">
        <v>112</v>
      </c>
      <c r="C145" t="s">
        <v>92</v>
      </c>
      <c r="D145" t="s">
        <v>246</v>
      </c>
      <c r="E145" t="s">
        <v>84</v>
      </c>
      <c r="F145" t="s">
        <v>29</v>
      </c>
      <c r="G145" t="s">
        <v>65</v>
      </c>
      <c r="H145" s="1">
        <v>44212</v>
      </c>
      <c r="I145" s="5">
        <f>YEAR(Week_3_Employee_Data_CLEANED[[#This Row],[hire_date]])</f>
        <v>2021</v>
      </c>
      <c r="J145" s="1"/>
      <c r="K145" t="b">
        <v>0</v>
      </c>
      <c r="L145">
        <v>21536.45</v>
      </c>
      <c r="M145" t="s">
        <v>46</v>
      </c>
      <c r="N145" t="s">
        <v>47</v>
      </c>
      <c r="O145" t="s">
        <v>48</v>
      </c>
      <c r="P145" t="s">
        <v>95</v>
      </c>
      <c r="Q145">
        <v>1098</v>
      </c>
      <c r="R145" t="s">
        <v>40</v>
      </c>
    </row>
    <row r="146" spans="1:18" x14ac:dyDescent="0.25">
      <c r="A146">
        <v>1145</v>
      </c>
      <c r="B146" t="s">
        <v>194</v>
      </c>
      <c r="C146" t="s">
        <v>78</v>
      </c>
      <c r="D146" t="s">
        <v>247</v>
      </c>
      <c r="E146" t="s">
        <v>84</v>
      </c>
      <c r="F146" t="s">
        <v>64</v>
      </c>
      <c r="G146" t="s">
        <v>85</v>
      </c>
      <c r="H146" s="1">
        <v>44912</v>
      </c>
      <c r="I146" s="5">
        <f>YEAR(Week_3_Employee_Data_CLEANED[[#This Row],[hire_date]])</f>
        <v>2022</v>
      </c>
      <c r="J146" s="1"/>
      <c r="K146" t="b">
        <v>1</v>
      </c>
      <c r="L146">
        <v>20077.79</v>
      </c>
      <c r="M146" t="s">
        <v>31</v>
      </c>
      <c r="N146" t="s">
        <v>57</v>
      </c>
      <c r="O146" t="s">
        <v>38</v>
      </c>
      <c r="P146" t="s">
        <v>110</v>
      </c>
      <c r="R146" t="s">
        <v>66</v>
      </c>
    </row>
    <row r="147" spans="1:18" x14ac:dyDescent="0.25">
      <c r="A147">
        <v>1146</v>
      </c>
      <c r="B147" t="s">
        <v>194</v>
      </c>
      <c r="C147" t="s">
        <v>78</v>
      </c>
      <c r="D147" t="s">
        <v>248</v>
      </c>
      <c r="E147" t="s">
        <v>74</v>
      </c>
      <c r="F147" t="s">
        <v>100</v>
      </c>
      <c r="G147" t="s">
        <v>80</v>
      </c>
      <c r="H147" s="1">
        <v>42742</v>
      </c>
      <c r="I147" s="5">
        <f>YEAR(Week_3_Employee_Data_CLEANED[[#This Row],[hire_date]])</f>
        <v>2017</v>
      </c>
      <c r="J147" s="1">
        <v>44538</v>
      </c>
      <c r="K147" t="b">
        <v>0</v>
      </c>
      <c r="L147">
        <v>28820.87</v>
      </c>
      <c r="M147" t="s">
        <v>31</v>
      </c>
      <c r="N147" t="s">
        <v>54</v>
      </c>
      <c r="O147" t="s">
        <v>34</v>
      </c>
      <c r="P147" t="s">
        <v>34</v>
      </c>
      <c r="Q147">
        <v>1057</v>
      </c>
      <c r="R147" t="s">
        <v>60</v>
      </c>
    </row>
    <row r="148" spans="1:18" x14ac:dyDescent="0.25">
      <c r="A148">
        <v>1147</v>
      </c>
      <c r="B148" t="s">
        <v>91</v>
      </c>
      <c r="C148" t="s">
        <v>72</v>
      </c>
      <c r="D148" t="s">
        <v>249</v>
      </c>
      <c r="E148" t="s">
        <v>84</v>
      </c>
      <c r="F148" t="s">
        <v>100</v>
      </c>
      <c r="G148" t="s">
        <v>53</v>
      </c>
      <c r="H148" s="1">
        <v>42211</v>
      </c>
      <c r="I148" s="5">
        <f>YEAR(Week_3_Employee_Data_CLEANED[[#This Row],[hire_date]])</f>
        <v>2015</v>
      </c>
      <c r="J148" s="1"/>
      <c r="K148" t="b">
        <v>0</v>
      </c>
      <c r="L148">
        <v>31719.41</v>
      </c>
      <c r="M148" t="s">
        <v>31</v>
      </c>
      <c r="N148" t="s">
        <v>47</v>
      </c>
      <c r="O148" t="s">
        <v>38</v>
      </c>
      <c r="P148" t="s">
        <v>49</v>
      </c>
      <c r="R148" t="s">
        <v>34</v>
      </c>
    </row>
    <row r="149" spans="1:18" x14ac:dyDescent="0.25">
      <c r="A149">
        <v>1148</v>
      </c>
      <c r="B149" t="s">
        <v>166</v>
      </c>
      <c r="C149" t="s">
        <v>131</v>
      </c>
      <c r="D149" t="s">
        <v>250</v>
      </c>
      <c r="E149" t="s">
        <v>28</v>
      </c>
      <c r="F149" t="s">
        <v>100</v>
      </c>
      <c r="G149" t="s">
        <v>65</v>
      </c>
      <c r="H149" s="1">
        <v>44730</v>
      </c>
      <c r="I149" s="5">
        <f>YEAR(Week_3_Employee_Data_CLEANED[[#This Row],[hire_date]])</f>
        <v>2022</v>
      </c>
      <c r="J149" s="1">
        <v>45538</v>
      </c>
      <c r="K149" t="b">
        <v>0</v>
      </c>
      <c r="L149">
        <v>25118.48</v>
      </c>
      <c r="M149" t="s">
        <v>70</v>
      </c>
      <c r="N149" t="s">
        <v>54</v>
      </c>
      <c r="O149" t="s">
        <v>33</v>
      </c>
      <c r="P149" t="s">
        <v>34</v>
      </c>
      <c r="Q149">
        <v>1086</v>
      </c>
      <c r="R149" t="s">
        <v>71</v>
      </c>
    </row>
    <row r="150" spans="1:18" x14ac:dyDescent="0.25">
      <c r="A150">
        <v>1149</v>
      </c>
      <c r="B150" t="s">
        <v>112</v>
      </c>
      <c r="C150" t="s">
        <v>131</v>
      </c>
      <c r="D150" t="s">
        <v>232</v>
      </c>
      <c r="E150" t="s">
        <v>84</v>
      </c>
      <c r="F150" t="s">
        <v>29</v>
      </c>
      <c r="G150" t="s">
        <v>85</v>
      </c>
      <c r="H150" s="1">
        <v>42385</v>
      </c>
      <c r="I150" s="5">
        <f>YEAR(Week_3_Employee_Data_CLEANED[[#This Row],[hire_date]])</f>
        <v>2016</v>
      </c>
      <c r="J150" s="1"/>
      <c r="K150" t="b">
        <v>1</v>
      </c>
      <c r="L150">
        <v>31626.71</v>
      </c>
      <c r="M150" t="s">
        <v>70</v>
      </c>
      <c r="N150" t="s">
        <v>57</v>
      </c>
      <c r="O150" t="s">
        <v>38</v>
      </c>
      <c r="P150" t="s">
        <v>110</v>
      </c>
      <c r="Q150">
        <v>1001</v>
      </c>
      <c r="R150" t="s">
        <v>40</v>
      </c>
    </row>
    <row r="151" spans="1:18" x14ac:dyDescent="0.25">
      <c r="A151">
        <v>1150</v>
      </c>
      <c r="B151" t="s">
        <v>107</v>
      </c>
      <c r="C151" t="s">
        <v>26</v>
      </c>
      <c r="D151" t="s">
        <v>251</v>
      </c>
      <c r="E151" t="s">
        <v>84</v>
      </c>
      <c r="F151" t="s">
        <v>44</v>
      </c>
      <c r="G151" t="s">
        <v>103</v>
      </c>
      <c r="H151" s="1">
        <v>42767</v>
      </c>
      <c r="I151" s="5">
        <f>YEAR(Week_3_Employee_Data_CLEANED[[#This Row],[hire_date]])</f>
        <v>2017</v>
      </c>
      <c r="J151" s="1"/>
      <c r="K151" t="b">
        <v>1</v>
      </c>
      <c r="L151">
        <v>16566.77</v>
      </c>
      <c r="M151" t="s">
        <v>70</v>
      </c>
      <c r="N151" t="s">
        <v>47</v>
      </c>
      <c r="O151" t="s">
        <v>58</v>
      </c>
      <c r="P151" t="s">
        <v>59</v>
      </c>
      <c r="R151" t="s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2:K42"/>
  <sheetViews>
    <sheetView workbookViewId="0">
      <selection activeCell="O4" sqref="O4"/>
    </sheetView>
  </sheetViews>
  <sheetFormatPr defaultRowHeight="15" x14ac:dyDescent="0.25"/>
  <sheetData>
    <row r="2" spans="1:11" x14ac:dyDescent="0.25">
      <c r="A2" s="3" t="s">
        <v>252</v>
      </c>
      <c r="B2" s="26" t="s">
        <v>253</v>
      </c>
      <c r="C2" s="27"/>
      <c r="D2" s="27"/>
      <c r="E2" s="27"/>
      <c r="F2" s="27"/>
      <c r="G2" s="27"/>
      <c r="H2" s="27"/>
      <c r="I2" s="27"/>
      <c r="J2" s="27"/>
      <c r="K2" s="28"/>
    </row>
    <row r="3" spans="1:11" x14ac:dyDescent="0.25">
      <c r="B3" s="29"/>
      <c r="C3" s="30"/>
      <c r="D3" s="30"/>
      <c r="E3" s="30"/>
      <c r="F3" s="30"/>
      <c r="G3" s="30"/>
      <c r="H3" s="30"/>
      <c r="I3" s="30"/>
      <c r="J3" s="30"/>
      <c r="K3" s="31"/>
    </row>
    <row r="4" spans="1:11" x14ac:dyDescent="0.25">
      <c r="B4" s="29"/>
      <c r="C4" s="30"/>
      <c r="D4" s="30"/>
      <c r="E4" s="30"/>
      <c r="F4" s="30"/>
      <c r="G4" s="30"/>
      <c r="H4" s="30"/>
      <c r="I4" s="30"/>
      <c r="J4" s="30"/>
      <c r="K4" s="31"/>
    </row>
    <row r="5" spans="1:11" x14ac:dyDescent="0.25">
      <c r="B5" s="29"/>
      <c r="C5" s="30"/>
      <c r="D5" s="30"/>
      <c r="E5" s="30"/>
      <c r="F5" s="30"/>
      <c r="G5" s="30"/>
      <c r="H5" s="30"/>
      <c r="I5" s="30"/>
      <c r="J5" s="30"/>
      <c r="K5" s="31"/>
    </row>
    <row r="6" spans="1:11" x14ac:dyDescent="0.25">
      <c r="B6" s="29"/>
      <c r="C6" s="30"/>
      <c r="D6" s="30"/>
      <c r="E6" s="30"/>
      <c r="F6" s="30"/>
      <c r="G6" s="30"/>
      <c r="H6" s="30"/>
      <c r="I6" s="30"/>
      <c r="J6" s="30"/>
      <c r="K6" s="31"/>
    </row>
    <row r="7" spans="1:11" x14ac:dyDescent="0.25">
      <c r="B7" s="29"/>
      <c r="C7" s="30"/>
      <c r="D7" s="30"/>
      <c r="E7" s="30"/>
      <c r="F7" s="30"/>
      <c r="G7" s="30"/>
      <c r="H7" s="30"/>
      <c r="I7" s="30"/>
      <c r="J7" s="30"/>
      <c r="K7" s="31"/>
    </row>
    <row r="8" spans="1:11" x14ac:dyDescent="0.25">
      <c r="B8" s="32"/>
      <c r="C8" s="33"/>
      <c r="D8" s="33"/>
      <c r="E8" s="33"/>
      <c r="F8" s="33"/>
      <c r="G8" s="33"/>
      <c r="H8" s="33"/>
      <c r="I8" s="33"/>
      <c r="J8" s="33"/>
      <c r="K8" s="34"/>
    </row>
    <row r="9" spans="1:11" x14ac:dyDescent="0.25"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</row>
    <row r="12" spans="1:11" x14ac:dyDescent="0.25">
      <c r="A12" s="3" t="s">
        <v>254</v>
      </c>
      <c r="B12" s="35" t="s">
        <v>255</v>
      </c>
      <c r="C12" s="36"/>
      <c r="D12" s="36"/>
      <c r="E12" s="36"/>
      <c r="F12" s="36"/>
      <c r="G12" s="36"/>
      <c r="H12" s="36"/>
      <c r="I12" s="36"/>
      <c r="J12" s="36"/>
      <c r="K12" s="37"/>
    </row>
    <row r="13" spans="1:11" x14ac:dyDescent="0.25">
      <c r="B13" s="38"/>
      <c r="C13" s="39"/>
      <c r="D13" s="39"/>
      <c r="E13" s="39"/>
      <c r="F13" s="39"/>
      <c r="G13" s="39"/>
      <c r="H13" s="39"/>
      <c r="I13" s="39"/>
      <c r="J13" s="39"/>
      <c r="K13" s="40"/>
    </row>
    <row r="14" spans="1:11" x14ac:dyDescent="0.25">
      <c r="B14" s="38"/>
      <c r="C14" s="39"/>
      <c r="D14" s="39"/>
      <c r="E14" s="39"/>
      <c r="F14" s="39"/>
      <c r="G14" s="39"/>
      <c r="H14" s="39"/>
      <c r="I14" s="39"/>
      <c r="J14" s="39"/>
      <c r="K14" s="40"/>
    </row>
    <row r="15" spans="1:11" x14ac:dyDescent="0.25">
      <c r="B15" s="38"/>
      <c r="C15" s="39"/>
      <c r="D15" s="39"/>
      <c r="E15" s="39"/>
      <c r="F15" s="39"/>
      <c r="G15" s="39"/>
      <c r="H15" s="39"/>
      <c r="I15" s="39"/>
      <c r="J15" s="39"/>
      <c r="K15" s="40"/>
    </row>
    <row r="16" spans="1:11" x14ac:dyDescent="0.25">
      <c r="B16" s="38"/>
      <c r="C16" s="39"/>
      <c r="D16" s="39"/>
      <c r="E16" s="39"/>
      <c r="F16" s="39"/>
      <c r="G16" s="39"/>
      <c r="H16" s="39"/>
      <c r="I16" s="39"/>
      <c r="J16" s="39"/>
      <c r="K16" s="40"/>
    </row>
    <row r="17" spans="2:11" x14ac:dyDescent="0.25">
      <c r="B17" s="38"/>
      <c r="C17" s="39"/>
      <c r="D17" s="39"/>
      <c r="E17" s="39"/>
      <c r="F17" s="39"/>
      <c r="G17" s="39"/>
      <c r="H17" s="39"/>
      <c r="I17" s="39"/>
      <c r="J17" s="39"/>
      <c r="K17" s="40"/>
    </row>
    <row r="18" spans="2:11" x14ac:dyDescent="0.25">
      <c r="B18" s="38"/>
      <c r="C18" s="39"/>
      <c r="D18" s="39"/>
      <c r="E18" s="39"/>
      <c r="F18" s="39"/>
      <c r="G18" s="39"/>
      <c r="H18" s="39"/>
      <c r="I18" s="39"/>
      <c r="J18" s="39"/>
      <c r="K18" s="40"/>
    </row>
    <row r="19" spans="2:11" x14ac:dyDescent="0.25">
      <c r="B19" s="38"/>
      <c r="C19" s="39"/>
      <c r="D19" s="39"/>
      <c r="E19" s="39"/>
      <c r="F19" s="39"/>
      <c r="G19" s="39"/>
      <c r="H19" s="39"/>
      <c r="I19" s="39"/>
      <c r="J19" s="39"/>
      <c r="K19" s="40"/>
    </row>
    <row r="20" spans="2:11" x14ac:dyDescent="0.25">
      <c r="B20" s="38"/>
      <c r="C20" s="39"/>
      <c r="D20" s="39"/>
      <c r="E20" s="39"/>
      <c r="F20" s="39"/>
      <c r="G20" s="39"/>
      <c r="H20" s="39"/>
      <c r="I20" s="39"/>
      <c r="J20" s="39"/>
      <c r="K20" s="40"/>
    </row>
    <row r="21" spans="2:11" x14ac:dyDescent="0.25">
      <c r="B21" s="38"/>
      <c r="C21" s="39"/>
      <c r="D21" s="39"/>
      <c r="E21" s="39"/>
      <c r="F21" s="39"/>
      <c r="G21" s="39"/>
      <c r="H21" s="39"/>
      <c r="I21" s="39"/>
      <c r="J21" s="39"/>
      <c r="K21" s="40"/>
    </row>
    <row r="22" spans="2:11" x14ac:dyDescent="0.25">
      <c r="B22" s="38"/>
      <c r="C22" s="39"/>
      <c r="D22" s="39"/>
      <c r="E22" s="39"/>
      <c r="F22" s="39"/>
      <c r="G22" s="39"/>
      <c r="H22" s="39"/>
      <c r="I22" s="39"/>
      <c r="J22" s="39"/>
      <c r="K22" s="40"/>
    </row>
    <row r="23" spans="2:11" x14ac:dyDescent="0.25">
      <c r="B23" s="38"/>
      <c r="C23" s="39"/>
      <c r="D23" s="39"/>
      <c r="E23" s="39"/>
      <c r="F23" s="39"/>
      <c r="G23" s="39"/>
      <c r="H23" s="39"/>
      <c r="I23" s="39"/>
      <c r="J23" s="39"/>
      <c r="K23" s="40"/>
    </row>
    <row r="24" spans="2:11" x14ac:dyDescent="0.25">
      <c r="B24" s="38"/>
      <c r="C24" s="39"/>
      <c r="D24" s="39"/>
      <c r="E24" s="39"/>
      <c r="F24" s="39"/>
      <c r="G24" s="39"/>
      <c r="H24" s="39"/>
      <c r="I24" s="39"/>
      <c r="J24" s="39"/>
      <c r="K24" s="40"/>
    </row>
    <row r="25" spans="2:11" x14ac:dyDescent="0.25">
      <c r="B25" s="38"/>
      <c r="C25" s="39"/>
      <c r="D25" s="39"/>
      <c r="E25" s="39"/>
      <c r="F25" s="39"/>
      <c r="G25" s="39"/>
      <c r="H25" s="39"/>
      <c r="I25" s="39"/>
      <c r="J25" s="39"/>
      <c r="K25" s="40"/>
    </row>
    <row r="26" spans="2:11" x14ac:dyDescent="0.25">
      <c r="B26" s="38"/>
      <c r="C26" s="39"/>
      <c r="D26" s="39"/>
      <c r="E26" s="39"/>
      <c r="F26" s="39"/>
      <c r="G26" s="39"/>
      <c r="H26" s="39"/>
      <c r="I26" s="39"/>
      <c r="J26" s="39"/>
      <c r="K26" s="40"/>
    </row>
    <row r="27" spans="2:11" x14ac:dyDescent="0.25">
      <c r="B27" s="38"/>
      <c r="C27" s="39"/>
      <c r="D27" s="39"/>
      <c r="E27" s="39"/>
      <c r="F27" s="39"/>
      <c r="G27" s="39"/>
      <c r="H27" s="39"/>
      <c r="I27" s="39"/>
      <c r="J27" s="39"/>
      <c r="K27" s="40"/>
    </row>
    <row r="28" spans="2:11" x14ac:dyDescent="0.25">
      <c r="B28" s="38"/>
      <c r="C28" s="39"/>
      <c r="D28" s="39"/>
      <c r="E28" s="39"/>
      <c r="F28" s="39"/>
      <c r="G28" s="39"/>
      <c r="H28" s="39"/>
      <c r="I28" s="39"/>
      <c r="J28" s="39"/>
      <c r="K28" s="40"/>
    </row>
    <row r="29" spans="2:11" x14ac:dyDescent="0.25">
      <c r="B29" s="38"/>
      <c r="C29" s="39"/>
      <c r="D29" s="39"/>
      <c r="E29" s="39"/>
      <c r="F29" s="39"/>
      <c r="G29" s="39"/>
      <c r="H29" s="39"/>
      <c r="I29" s="39"/>
      <c r="J29" s="39"/>
      <c r="K29" s="40"/>
    </row>
    <row r="30" spans="2:11" x14ac:dyDescent="0.25">
      <c r="B30" s="38"/>
      <c r="C30" s="39"/>
      <c r="D30" s="39"/>
      <c r="E30" s="39"/>
      <c r="F30" s="39"/>
      <c r="G30" s="39"/>
      <c r="H30" s="39"/>
      <c r="I30" s="39"/>
      <c r="J30" s="39"/>
      <c r="K30" s="40"/>
    </row>
    <row r="31" spans="2:11" x14ac:dyDescent="0.25"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2:11" x14ac:dyDescent="0.25"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2:11" x14ac:dyDescent="0.25">
      <c r="B33" s="38"/>
      <c r="C33" s="39"/>
      <c r="D33" s="39"/>
      <c r="E33" s="39"/>
      <c r="F33" s="39"/>
      <c r="G33" s="39"/>
      <c r="H33" s="39"/>
      <c r="I33" s="39"/>
      <c r="J33" s="39"/>
      <c r="K33" s="40"/>
    </row>
    <row r="34" spans="2:11" x14ac:dyDescent="0.25">
      <c r="B34" s="38"/>
      <c r="C34" s="39"/>
      <c r="D34" s="39"/>
      <c r="E34" s="39"/>
      <c r="F34" s="39"/>
      <c r="G34" s="39"/>
      <c r="H34" s="39"/>
      <c r="I34" s="39"/>
      <c r="J34" s="39"/>
      <c r="K34" s="40"/>
    </row>
    <row r="35" spans="2:11" x14ac:dyDescent="0.25">
      <c r="B35" s="38"/>
      <c r="C35" s="39"/>
      <c r="D35" s="39"/>
      <c r="E35" s="39"/>
      <c r="F35" s="39"/>
      <c r="G35" s="39"/>
      <c r="H35" s="39"/>
      <c r="I35" s="39"/>
      <c r="J35" s="39"/>
      <c r="K35" s="40"/>
    </row>
    <row r="36" spans="2:11" x14ac:dyDescent="0.25">
      <c r="B36" s="38"/>
      <c r="C36" s="39"/>
      <c r="D36" s="39"/>
      <c r="E36" s="39"/>
      <c r="F36" s="39"/>
      <c r="G36" s="39"/>
      <c r="H36" s="39"/>
      <c r="I36" s="39"/>
      <c r="J36" s="39"/>
      <c r="K36" s="40"/>
    </row>
    <row r="37" spans="2:11" x14ac:dyDescent="0.25">
      <c r="B37" s="38"/>
      <c r="C37" s="39"/>
      <c r="D37" s="39"/>
      <c r="E37" s="39"/>
      <c r="F37" s="39"/>
      <c r="G37" s="39"/>
      <c r="H37" s="39"/>
      <c r="I37" s="39"/>
      <c r="J37" s="39"/>
      <c r="K37" s="40"/>
    </row>
    <row r="38" spans="2:11" x14ac:dyDescent="0.25">
      <c r="B38" s="38"/>
      <c r="C38" s="39"/>
      <c r="D38" s="39"/>
      <c r="E38" s="39"/>
      <c r="F38" s="39"/>
      <c r="G38" s="39"/>
      <c r="H38" s="39"/>
      <c r="I38" s="39"/>
      <c r="J38" s="39"/>
      <c r="K38" s="40"/>
    </row>
    <row r="39" spans="2:11" x14ac:dyDescent="0.25">
      <c r="B39" s="38"/>
      <c r="C39" s="39"/>
      <c r="D39" s="39"/>
      <c r="E39" s="39"/>
      <c r="F39" s="39"/>
      <c r="G39" s="39"/>
      <c r="H39" s="39"/>
      <c r="I39" s="39"/>
      <c r="J39" s="39"/>
      <c r="K39" s="40"/>
    </row>
    <row r="40" spans="2:11" x14ac:dyDescent="0.25">
      <c r="B40" s="38"/>
      <c r="C40" s="39"/>
      <c r="D40" s="39"/>
      <c r="E40" s="39"/>
      <c r="F40" s="39"/>
      <c r="G40" s="39"/>
      <c r="H40" s="39"/>
      <c r="I40" s="39"/>
      <c r="J40" s="39"/>
      <c r="K40" s="40"/>
    </row>
    <row r="41" spans="2:11" x14ac:dyDescent="0.25">
      <c r="B41" s="38"/>
      <c r="C41" s="39"/>
      <c r="D41" s="39"/>
      <c r="E41" s="39"/>
      <c r="F41" s="39"/>
      <c r="G41" s="39"/>
      <c r="H41" s="39"/>
      <c r="I41" s="39"/>
      <c r="J41" s="39"/>
      <c r="K41" s="40"/>
    </row>
    <row r="42" spans="2:11" x14ac:dyDescent="0.25">
      <c r="B42" s="41"/>
      <c r="C42" s="42"/>
      <c r="D42" s="42"/>
      <c r="E42" s="42"/>
      <c r="F42" s="42"/>
      <c r="G42" s="42"/>
      <c r="H42" s="42"/>
      <c r="I42" s="42"/>
      <c r="J42" s="42"/>
      <c r="K42" s="43"/>
    </row>
  </sheetData>
  <mergeCells count="2">
    <mergeCell ref="B2:K8"/>
    <mergeCell ref="B12:K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E716-C8F7-40C7-B7D9-7F2BFB20361A}">
  <sheetPr>
    <tabColor theme="5" tint="0.59999389629810485"/>
  </sheetPr>
  <dimension ref="A2:D11"/>
  <sheetViews>
    <sheetView workbookViewId="0">
      <selection activeCell="C15" sqref="C15"/>
    </sheetView>
  </sheetViews>
  <sheetFormatPr defaultRowHeight="15" x14ac:dyDescent="0.25"/>
  <cols>
    <col min="1" max="1" width="22.42578125" bestFit="1" customWidth="1"/>
    <col min="2" max="5" width="12.5703125" bestFit="1" customWidth="1"/>
    <col min="6" max="6" width="10.42578125" bestFit="1" customWidth="1"/>
    <col min="7" max="7" width="12.5703125" bestFit="1" customWidth="1"/>
    <col min="8" max="8" width="10.42578125" bestFit="1" customWidth="1"/>
    <col min="9" max="9" width="13" bestFit="1" customWidth="1"/>
    <col min="10" max="10" width="19.28515625" bestFit="1" customWidth="1"/>
    <col min="11" max="12" width="12.5703125" bestFit="1" customWidth="1"/>
    <col min="13" max="13" width="22.5703125" bestFit="1" customWidth="1"/>
    <col min="14" max="14" width="24.85546875" bestFit="1" customWidth="1"/>
    <col min="15" max="16" width="12.5703125" bestFit="1" customWidth="1"/>
    <col min="17" max="17" width="28.140625" bestFit="1" customWidth="1"/>
    <col min="18" max="18" width="12.85546875" bestFit="1" customWidth="1"/>
    <col min="19" max="19" width="9.28515625" bestFit="1" customWidth="1"/>
    <col min="20" max="20" width="12.5703125" bestFit="1" customWidth="1"/>
    <col min="21" max="21" width="16.28515625" bestFit="1" customWidth="1"/>
    <col min="22" max="23" width="9.28515625" bestFit="1" customWidth="1"/>
    <col min="24" max="24" width="10.42578125" bestFit="1" customWidth="1"/>
    <col min="25" max="25" width="11.42578125" bestFit="1" customWidth="1"/>
    <col min="26" max="26" width="12.5703125" bestFit="1" customWidth="1"/>
  </cols>
  <sheetData>
    <row r="2" spans="1:4" x14ac:dyDescent="0.25">
      <c r="A2" s="44" t="s">
        <v>256</v>
      </c>
      <c r="B2" s="44"/>
      <c r="C2" s="44"/>
      <c r="D2" s="44"/>
    </row>
    <row r="3" spans="1:4" x14ac:dyDescent="0.25">
      <c r="A3" s="2" t="s">
        <v>257</v>
      </c>
      <c r="B3" s="2" t="s">
        <v>19</v>
      </c>
    </row>
    <row r="4" spans="1:4" x14ac:dyDescent="0.25">
      <c r="A4" s="2" t="s">
        <v>12</v>
      </c>
      <c r="B4" t="s">
        <v>31</v>
      </c>
      <c r="C4" t="s">
        <v>46</v>
      </c>
      <c r="D4" t="s">
        <v>70</v>
      </c>
    </row>
    <row r="5" spans="1:4" x14ac:dyDescent="0.25">
      <c r="A5" t="s">
        <v>128</v>
      </c>
      <c r="B5" s="7">
        <v>43580.119999999995</v>
      </c>
      <c r="C5" s="7">
        <v>30850.895999999997</v>
      </c>
      <c r="D5" s="7">
        <v>33195.089999999997</v>
      </c>
    </row>
    <row r="6" spans="1:4" x14ac:dyDescent="0.25">
      <c r="A6" t="s">
        <v>100</v>
      </c>
      <c r="B6" s="7">
        <v>31096.117999999999</v>
      </c>
      <c r="C6" s="7">
        <v>87676.224285714285</v>
      </c>
      <c r="D6" s="7">
        <v>37262.514999999999</v>
      </c>
    </row>
    <row r="7" spans="1:4" x14ac:dyDescent="0.25">
      <c r="A7" t="s">
        <v>29</v>
      </c>
      <c r="B7" s="7">
        <v>36016.417999999991</v>
      </c>
      <c r="C7" s="7">
        <v>54174.531428571419</v>
      </c>
      <c r="D7" s="7">
        <v>58245.965333333341</v>
      </c>
    </row>
    <row r="8" spans="1:4" x14ac:dyDescent="0.25">
      <c r="A8" t="s">
        <v>64</v>
      </c>
      <c r="B8" s="7">
        <v>35309.931249999994</v>
      </c>
      <c r="C8" s="7">
        <v>36616.058750000004</v>
      </c>
      <c r="D8" s="7">
        <v>34501.38846153846</v>
      </c>
    </row>
    <row r="9" spans="1:4" x14ac:dyDescent="0.25">
      <c r="A9" t="s">
        <v>44</v>
      </c>
      <c r="B9" s="7">
        <v>28019.714</v>
      </c>
      <c r="C9" s="7">
        <v>34355.64</v>
      </c>
      <c r="D9" s="7">
        <v>32939.53571428571</v>
      </c>
    </row>
    <row r="10" spans="1:4" x14ac:dyDescent="0.25">
      <c r="A10" t="s">
        <v>52</v>
      </c>
      <c r="B10" s="7">
        <v>25249.969999999998</v>
      </c>
      <c r="C10" s="7">
        <v>35982.629999999997</v>
      </c>
      <c r="D10" s="7">
        <v>32720.591000000004</v>
      </c>
    </row>
    <row r="11" spans="1:4" x14ac:dyDescent="0.25">
      <c r="A11" t="s">
        <v>258</v>
      </c>
      <c r="B11" s="7">
        <v>34890.089302325578</v>
      </c>
      <c r="C11" s="7">
        <v>49342.07522727274</v>
      </c>
      <c r="D11" s="7">
        <v>39712.799365079365</v>
      </c>
    </row>
  </sheetData>
  <mergeCells count="1"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3AC8-CE4A-4CDA-B974-9C42DC772C07}">
  <sheetPr>
    <tabColor theme="5" tint="0.59999389629810485"/>
  </sheetPr>
  <dimension ref="A1:B9"/>
  <sheetViews>
    <sheetView workbookViewId="0">
      <selection activeCell="A10" sqref="A10"/>
    </sheetView>
  </sheetViews>
  <sheetFormatPr defaultRowHeight="15" x14ac:dyDescent="0.25"/>
  <cols>
    <col min="1" max="1" width="22.42578125" bestFit="1" customWidth="1"/>
    <col min="2" max="2" width="20.7109375" bestFit="1" customWidth="1"/>
  </cols>
  <sheetData>
    <row r="1" spans="1:2" x14ac:dyDescent="0.25">
      <c r="A1" s="44" t="s">
        <v>259</v>
      </c>
      <c r="B1" s="44"/>
    </row>
    <row r="2" spans="1:2" x14ac:dyDescent="0.25">
      <c r="A2" s="2" t="s">
        <v>12</v>
      </c>
      <c r="B2" s="6" t="s">
        <v>260</v>
      </c>
    </row>
    <row r="3" spans="1:2" x14ac:dyDescent="0.25">
      <c r="A3" t="s">
        <v>29</v>
      </c>
      <c r="B3">
        <v>39</v>
      </c>
    </row>
    <row r="4" spans="1:2" x14ac:dyDescent="0.25">
      <c r="A4" t="s">
        <v>64</v>
      </c>
      <c r="B4">
        <v>29</v>
      </c>
    </row>
    <row r="5" spans="1:2" x14ac:dyDescent="0.25">
      <c r="A5" t="s">
        <v>128</v>
      </c>
      <c r="B5">
        <v>27</v>
      </c>
    </row>
    <row r="6" spans="1:2" x14ac:dyDescent="0.25">
      <c r="A6" t="s">
        <v>52</v>
      </c>
      <c r="B6">
        <v>20</v>
      </c>
    </row>
    <row r="7" spans="1:2" x14ac:dyDescent="0.25">
      <c r="A7" t="s">
        <v>100</v>
      </c>
      <c r="B7">
        <v>18</v>
      </c>
    </row>
    <row r="8" spans="1:2" x14ac:dyDescent="0.25">
      <c r="A8" t="s">
        <v>44</v>
      </c>
      <c r="B8">
        <v>17</v>
      </c>
    </row>
    <row r="9" spans="1:2" x14ac:dyDescent="0.25">
      <c r="A9" t="s">
        <v>258</v>
      </c>
      <c r="B9">
        <v>150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742F-2572-4617-9B43-C9E3DFFF1AA2}">
  <sheetPr>
    <tabColor theme="5" tint="0.59999389629810485"/>
  </sheetPr>
  <dimension ref="A2:C11"/>
  <sheetViews>
    <sheetView workbookViewId="0">
      <selection activeCell="I5" sqref="I5"/>
    </sheetView>
  </sheetViews>
  <sheetFormatPr defaultRowHeight="15" x14ac:dyDescent="0.25"/>
  <cols>
    <col min="1" max="1" width="22.42578125" bestFit="1" customWidth="1"/>
    <col min="2" max="2" width="11.85546875" bestFit="1" customWidth="1"/>
    <col min="3" max="3" width="5.7109375" bestFit="1" customWidth="1"/>
    <col min="4" max="4" width="11.7109375" bestFit="1" customWidth="1"/>
  </cols>
  <sheetData>
    <row r="2" spans="1:3" x14ac:dyDescent="0.25">
      <c r="A2" s="44" t="s">
        <v>261</v>
      </c>
      <c r="B2" s="44"/>
      <c r="C2" s="44"/>
    </row>
    <row r="3" spans="1:3" x14ac:dyDescent="0.25">
      <c r="A3" s="2" t="s">
        <v>260</v>
      </c>
      <c r="B3" s="2" t="s">
        <v>17</v>
      </c>
    </row>
    <row r="4" spans="1:3" x14ac:dyDescent="0.25">
      <c r="A4" s="2" t="s">
        <v>12</v>
      </c>
      <c r="B4" t="s">
        <v>262</v>
      </c>
      <c r="C4" t="s">
        <v>263</v>
      </c>
    </row>
    <row r="5" spans="1:3" x14ac:dyDescent="0.25">
      <c r="A5" t="s">
        <v>128</v>
      </c>
      <c r="B5">
        <v>18</v>
      </c>
      <c r="C5">
        <v>9</v>
      </c>
    </row>
    <row r="6" spans="1:3" x14ac:dyDescent="0.25">
      <c r="A6" t="s">
        <v>100</v>
      </c>
      <c r="B6">
        <v>16</v>
      </c>
      <c r="C6">
        <v>2</v>
      </c>
    </row>
    <row r="7" spans="1:3" x14ac:dyDescent="0.25">
      <c r="A7" t="s">
        <v>29</v>
      </c>
      <c r="B7">
        <v>23</v>
      </c>
      <c r="C7">
        <v>16</v>
      </c>
    </row>
    <row r="8" spans="1:3" x14ac:dyDescent="0.25">
      <c r="A8" t="s">
        <v>64</v>
      </c>
      <c r="B8">
        <v>18</v>
      </c>
      <c r="C8">
        <v>11</v>
      </c>
    </row>
    <row r="9" spans="1:3" x14ac:dyDescent="0.25">
      <c r="A9" t="s">
        <v>44</v>
      </c>
      <c r="B9">
        <v>11</v>
      </c>
      <c r="C9">
        <v>6</v>
      </c>
    </row>
    <row r="10" spans="1:3" x14ac:dyDescent="0.25">
      <c r="A10" t="s">
        <v>52</v>
      </c>
      <c r="B10">
        <v>12</v>
      </c>
      <c r="C10">
        <v>8</v>
      </c>
    </row>
    <row r="11" spans="1:3" x14ac:dyDescent="0.25">
      <c r="A11" t="s">
        <v>258</v>
      </c>
      <c r="B11">
        <v>98</v>
      </c>
      <c r="C11">
        <v>52</v>
      </c>
    </row>
  </sheetData>
  <mergeCells count="1">
    <mergeCell ref="A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7E81-C71F-4B86-AFEA-04EFE0760286}">
  <sheetPr>
    <tabColor theme="5" tint="0.59999389629810485"/>
  </sheetPr>
  <dimension ref="A1:B11"/>
  <sheetViews>
    <sheetView workbookViewId="0">
      <selection activeCell="C18" sqref="C18"/>
    </sheetView>
  </sheetViews>
  <sheetFormatPr defaultRowHeight="15" x14ac:dyDescent="0.25"/>
  <cols>
    <col min="1" max="1" width="19" bestFit="1" customWidth="1"/>
    <col min="2" max="2" width="21.140625" bestFit="1" customWidth="1"/>
  </cols>
  <sheetData>
    <row r="1" spans="1:2" x14ac:dyDescent="0.25">
      <c r="A1" s="44" t="s">
        <v>264</v>
      </c>
      <c r="B1" s="44"/>
    </row>
    <row r="2" spans="1:2" x14ac:dyDescent="0.25">
      <c r="A2" s="22" t="s">
        <v>265</v>
      </c>
      <c r="B2" s="24" t="s">
        <v>260</v>
      </c>
    </row>
    <row r="3" spans="1:2" x14ac:dyDescent="0.25">
      <c r="A3" s="23">
        <v>2015</v>
      </c>
      <c r="B3" s="24">
        <v>18</v>
      </c>
    </row>
    <row r="4" spans="1:2" x14ac:dyDescent="0.25">
      <c r="A4" s="23">
        <v>2016</v>
      </c>
      <c r="B4" s="24">
        <v>18</v>
      </c>
    </row>
    <row r="5" spans="1:2" x14ac:dyDescent="0.25">
      <c r="A5" s="23">
        <v>2017</v>
      </c>
      <c r="B5" s="24">
        <v>27</v>
      </c>
    </row>
    <row r="6" spans="1:2" x14ac:dyDescent="0.25">
      <c r="A6" s="23">
        <v>2018</v>
      </c>
      <c r="B6" s="24">
        <v>20</v>
      </c>
    </row>
    <row r="7" spans="1:2" x14ac:dyDescent="0.25">
      <c r="A7" s="23">
        <v>2019</v>
      </c>
      <c r="B7" s="24">
        <v>18</v>
      </c>
    </row>
    <row r="8" spans="1:2" x14ac:dyDescent="0.25">
      <c r="A8" s="23">
        <v>2020</v>
      </c>
      <c r="B8" s="24">
        <v>13</v>
      </c>
    </row>
    <row r="9" spans="1:2" x14ac:dyDescent="0.25">
      <c r="A9" s="23">
        <v>2021</v>
      </c>
      <c r="B9" s="24">
        <v>13</v>
      </c>
    </row>
    <row r="10" spans="1:2" x14ac:dyDescent="0.25">
      <c r="A10" s="23">
        <v>2022</v>
      </c>
      <c r="B10" s="24">
        <v>23</v>
      </c>
    </row>
    <row r="11" spans="1:2" x14ac:dyDescent="0.25">
      <c r="A11" s="5" t="s">
        <v>258</v>
      </c>
      <c r="B11" s="24">
        <v>150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CB40-CEC3-44AA-889A-ECEE095BBCE8}">
  <sheetPr>
    <tabColor theme="5" tint="0.59999389629810485"/>
  </sheetPr>
  <dimension ref="A1"/>
  <sheetViews>
    <sheetView workbookViewId="0">
      <selection activeCell="P29" sqref="P29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11F88844A9884C8F497A6BB5C7B62F" ma:contentTypeVersion="3" ma:contentTypeDescription="Create a new document." ma:contentTypeScope="" ma:versionID="1ccc5841cef8c6e890c07cbacfab5f37">
  <xsd:schema xmlns:xsd="http://www.w3.org/2001/XMLSchema" xmlns:xs="http://www.w3.org/2001/XMLSchema" xmlns:p="http://schemas.microsoft.com/office/2006/metadata/properties" xmlns:ns2="9cb0914b-7328-402a-81ce-d9536cd571ee" targetNamespace="http://schemas.microsoft.com/office/2006/metadata/properties" ma:root="true" ma:fieldsID="f1ce419c48f5c51433b311b6b1a04046" ns2:_="">
    <xsd:import namespace="9cb0914b-7328-402a-81ce-d9536cd57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b0914b-7328-402a-81ce-d9536cd571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C7A940-6FD9-446D-A935-1AE19F735A2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5D87A2A-6109-4060-A3C1-FE47EAFCFB6A}"/>
</file>

<file path=customXml/itemProps3.xml><?xml version="1.0" encoding="utf-8"?>
<ds:datastoreItem xmlns:ds="http://schemas.openxmlformats.org/officeDocument/2006/customXml" ds:itemID="{28CEE657-91E0-4F57-9846-C300E154C532}"/>
</file>

<file path=customXml/itemProps4.xml><?xml version="1.0" encoding="utf-8"?>
<ds:datastoreItem xmlns:ds="http://schemas.openxmlformats.org/officeDocument/2006/customXml" ds:itemID="{F50E7928-C964-4293-959E-9335CE5709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Landing-Page</vt:lpstr>
      <vt:lpstr>Week-3-Employee-Data_CLEANED</vt:lpstr>
      <vt:lpstr>Data Description</vt:lpstr>
      <vt:lpstr>Average Salary by Department an</vt:lpstr>
      <vt:lpstr>headcount by department</vt:lpstr>
      <vt:lpstr>Active vs Inactive</vt:lpstr>
      <vt:lpstr>Hires by Year</vt:lpstr>
      <vt:lpstr>Bar 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CAPACITI-JHB</dc:creator>
  <cp:keywords/>
  <dc:description/>
  <cp:lastModifiedBy>Sibongile Maluleka</cp:lastModifiedBy>
  <cp:revision/>
  <dcterms:created xsi:type="dcterms:W3CDTF">2026-02-25T12:59:59Z</dcterms:created>
  <dcterms:modified xsi:type="dcterms:W3CDTF">2026-02-26T13:27:39Z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0x0101004411F88844A9884C8F497A6BB5C7B62F</vt:lpwstr>
  </property>
</Properties>
</file>